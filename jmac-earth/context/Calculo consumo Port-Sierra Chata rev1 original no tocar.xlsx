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rawings/drawing2.xml" ContentType="application/vnd.openxmlformats-officedocument.drawing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MAC\Desktop\"/>
    </mc:Choice>
  </mc:AlternateContent>
  <xr:revisionPtr revIDLastSave="0" documentId="13_ncr:1_{B67509CC-3293-4864-BB3A-4AF2BD3868B3}" xr6:coauthVersionLast="47" xr6:coauthVersionMax="47" xr10:uidLastSave="{00000000-0000-0000-0000-000000000000}"/>
  <bookViews>
    <workbookView xWindow="28680" yWindow="-120" windowWidth="29040" windowHeight="15720" activeTab="2" xr2:uid="{9A84AF5F-4F5B-41A3-9A6F-00BB2BA8BAE5}"/>
  </bookViews>
  <sheets>
    <sheet name="600 m3-h" sheetId="5" r:id="rId1"/>
    <sheet name="500 m3-h" sheetId="1" r:id="rId2"/>
    <sheet name="400 m3-h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4" i="4" l="1"/>
  <c r="K25" i="4"/>
  <c r="O25" i="4" s="1"/>
  <c r="P25" i="4" s="1"/>
  <c r="K26" i="4"/>
  <c r="O26" i="4" s="1"/>
  <c r="P26" i="4" s="1"/>
  <c r="K27" i="4"/>
  <c r="K28" i="4"/>
  <c r="K29" i="4"/>
  <c r="K30" i="4"/>
  <c r="K31" i="4"/>
  <c r="K32" i="4"/>
  <c r="K33" i="4"/>
  <c r="K34" i="4"/>
  <c r="K35" i="4"/>
  <c r="K36" i="4"/>
  <c r="K37" i="4"/>
  <c r="K38" i="4"/>
  <c r="K39" i="4"/>
  <c r="K40" i="4"/>
  <c r="K41" i="4"/>
  <c r="K42" i="4"/>
  <c r="K43" i="4"/>
  <c r="K44" i="4"/>
  <c r="K45" i="4"/>
  <c r="K46" i="4"/>
  <c r="K47" i="4"/>
  <c r="K48" i="4"/>
  <c r="K49" i="4"/>
  <c r="K50" i="4"/>
  <c r="K51" i="4"/>
  <c r="K52" i="4"/>
  <c r="K53" i="4"/>
  <c r="K54" i="4"/>
  <c r="K55" i="4"/>
  <c r="K56" i="4"/>
  <c r="K57" i="4"/>
  <c r="K58" i="4"/>
  <c r="K59" i="4"/>
  <c r="K60" i="4"/>
  <c r="K61" i="4"/>
  <c r="K62" i="4"/>
  <c r="K63" i="4"/>
  <c r="K64" i="4"/>
  <c r="K65" i="4"/>
  <c r="K66" i="4"/>
  <c r="K67" i="4"/>
  <c r="K68" i="4"/>
  <c r="K69" i="4"/>
  <c r="K70" i="4"/>
  <c r="K71" i="4"/>
  <c r="K72" i="4"/>
  <c r="K73" i="4"/>
  <c r="K74" i="4"/>
  <c r="K75" i="4"/>
  <c r="K76" i="4"/>
  <c r="K77" i="4"/>
  <c r="K78" i="4"/>
  <c r="K79" i="4"/>
  <c r="K80" i="4"/>
  <c r="K81" i="4"/>
  <c r="K82" i="4"/>
  <c r="K83" i="4"/>
  <c r="K84" i="4"/>
  <c r="K85" i="4"/>
  <c r="K86" i="4"/>
  <c r="K87" i="4"/>
  <c r="O87" i="4" s="1"/>
  <c r="K88" i="4"/>
  <c r="K89" i="4"/>
  <c r="K90" i="4"/>
  <c r="K91" i="4"/>
  <c r="K92" i="4"/>
  <c r="K93" i="4"/>
  <c r="K94" i="4"/>
  <c r="K95" i="4"/>
  <c r="K96" i="4"/>
  <c r="K97" i="4"/>
  <c r="K98" i="4"/>
  <c r="K99" i="4"/>
  <c r="K100" i="4"/>
  <c r="K101" i="4"/>
  <c r="K102" i="4"/>
  <c r="K103" i="4"/>
  <c r="K104" i="4"/>
  <c r="K105" i="4"/>
  <c r="K106" i="4"/>
  <c r="K107" i="4"/>
  <c r="K108" i="4"/>
  <c r="K109" i="4"/>
  <c r="K110" i="4"/>
  <c r="K111" i="4"/>
  <c r="K112" i="4"/>
  <c r="K113" i="4"/>
  <c r="K114" i="4"/>
  <c r="K115" i="4"/>
  <c r="K116" i="4"/>
  <c r="K117" i="4"/>
  <c r="K118" i="4"/>
  <c r="AN66" i="4"/>
  <c r="N98" i="4"/>
  <c r="N26" i="4"/>
  <c r="M25" i="4"/>
  <c r="O54" i="4"/>
  <c r="P54" i="4" s="1"/>
  <c r="D4" i="4"/>
  <c r="F17" i="4"/>
  <c r="D17" i="4"/>
  <c r="K24" i="5"/>
  <c r="K26" i="5"/>
  <c r="K27" i="5"/>
  <c r="K28" i="5"/>
  <c r="K29" i="5"/>
  <c r="K31" i="5"/>
  <c r="K32" i="5"/>
  <c r="K33" i="5"/>
  <c r="K34" i="5"/>
  <c r="K37" i="5"/>
  <c r="K38" i="5"/>
  <c r="K40" i="5"/>
  <c r="K41" i="5"/>
  <c r="K42" i="5"/>
  <c r="K43" i="5"/>
  <c r="K45" i="5"/>
  <c r="K46" i="5"/>
  <c r="K47" i="5"/>
  <c r="K48" i="5"/>
  <c r="K51" i="5"/>
  <c r="K52" i="5"/>
  <c r="K54" i="5"/>
  <c r="K55" i="5"/>
  <c r="K56" i="5"/>
  <c r="K57" i="5"/>
  <c r="K59" i="5"/>
  <c r="K60" i="5"/>
  <c r="K61" i="5"/>
  <c r="K62" i="5"/>
  <c r="K65" i="5"/>
  <c r="K66" i="5"/>
  <c r="K68" i="5"/>
  <c r="K69" i="5"/>
  <c r="K70" i="5"/>
  <c r="K71" i="5"/>
  <c r="K73" i="5"/>
  <c r="K74" i="5"/>
  <c r="K75" i="5"/>
  <c r="K76" i="5"/>
  <c r="K79" i="5"/>
  <c r="K80" i="5"/>
  <c r="K82" i="5"/>
  <c r="K83" i="5"/>
  <c r="K84" i="5"/>
  <c r="K85" i="5"/>
  <c r="K87" i="5"/>
  <c r="K88" i="5"/>
  <c r="K89" i="5"/>
  <c r="K90" i="5"/>
  <c r="K93" i="5"/>
  <c r="K94" i="5"/>
  <c r="K96" i="5"/>
  <c r="K97" i="5"/>
  <c r="K98" i="5"/>
  <c r="K99" i="5"/>
  <c r="K101" i="5"/>
  <c r="K102" i="5"/>
  <c r="K103" i="5"/>
  <c r="K104" i="5"/>
  <c r="K107" i="5"/>
  <c r="K108" i="5"/>
  <c r="K110" i="5"/>
  <c r="K111" i="5"/>
  <c r="K112" i="5"/>
  <c r="K113" i="5"/>
  <c r="K115" i="5"/>
  <c r="K116" i="5"/>
  <c r="K117" i="5"/>
  <c r="K118" i="5"/>
  <c r="H45" i="5"/>
  <c r="K25" i="5" s="1"/>
  <c r="O25" i="5" s="1"/>
  <c r="P25" i="5" s="1"/>
  <c r="AE118" i="5"/>
  <c r="AA118" i="5"/>
  <c r="W118" i="5"/>
  <c r="M118" i="5"/>
  <c r="J118" i="5"/>
  <c r="AE117" i="5"/>
  <c r="AA117" i="5"/>
  <c r="W117" i="5"/>
  <c r="M117" i="5"/>
  <c r="J117" i="5"/>
  <c r="AE116" i="5"/>
  <c r="AA116" i="5"/>
  <c r="W116" i="5"/>
  <c r="Q116" i="5"/>
  <c r="M116" i="5"/>
  <c r="J116" i="5"/>
  <c r="AE115" i="5"/>
  <c r="AA115" i="5"/>
  <c r="W115" i="5"/>
  <c r="M115" i="5"/>
  <c r="J115" i="5"/>
  <c r="AE114" i="5"/>
  <c r="AA114" i="5"/>
  <c r="W114" i="5"/>
  <c r="M114" i="5"/>
  <c r="J114" i="5"/>
  <c r="AE113" i="5"/>
  <c r="AA113" i="5"/>
  <c r="W113" i="5"/>
  <c r="M113" i="5"/>
  <c r="J113" i="5"/>
  <c r="AE112" i="5"/>
  <c r="AA112" i="5"/>
  <c r="W112" i="5"/>
  <c r="M112" i="5"/>
  <c r="J112" i="5"/>
  <c r="AE111" i="5"/>
  <c r="AA111" i="5"/>
  <c r="W111" i="5"/>
  <c r="M111" i="5"/>
  <c r="J111" i="5"/>
  <c r="AE110" i="5"/>
  <c r="AA110" i="5"/>
  <c r="W110" i="5"/>
  <c r="M110" i="5"/>
  <c r="J110" i="5"/>
  <c r="AE109" i="5"/>
  <c r="AA109" i="5"/>
  <c r="W109" i="5"/>
  <c r="M109" i="5"/>
  <c r="J109" i="5"/>
  <c r="AE108" i="5"/>
  <c r="AA108" i="5"/>
  <c r="W108" i="5"/>
  <c r="Q108" i="5"/>
  <c r="M108" i="5"/>
  <c r="J108" i="5"/>
  <c r="AE107" i="5"/>
  <c r="AA107" i="5"/>
  <c r="W107" i="5"/>
  <c r="Q107" i="5"/>
  <c r="M107" i="5"/>
  <c r="J107" i="5"/>
  <c r="AE106" i="5"/>
  <c r="AA106" i="5"/>
  <c r="W106" i="5"/>
  <c r="M106" i="5"/>
  <c r="J106" i="5"/>
  <c r="AE105" i="5"/>
  <c r="AA105" i="5"/>
  <c r="W105" i="5"/>
  <c r="M105" i="5"/>
  <c r="J105" i="5"/>
  <c r="AE104" i="5"/>
  <c r="AA104" i="5"/>
  <c r="W104" i="5"/>
  <c r="Q104" i="5"/>
  <c r="M104" i="5"/>
  <c r="J104" i="5"/>
  <c r="AE103" i="5"/>
  <c r="AA103" i="5"/>
  <c r="W103" i="5"/>
  <c r="Q103" i="5"/>
  <c r="M103" i="5"/>
  <c r="J103" i="5"/>
  <c r="AE102" i="5"/>
  <c r="AA102" i="5"/>
  <c r="W102" i="5"/>
  <c r="M102" i="5"/>
  <c r="J102" i="5"/>
  <c r="AE101" i="5"/>
  <c r="AA101" i="5"/>
  <c r="W101" i="5"/>
  <c r="M101" i="5"/>
  <c r="J101" i="5"/>
  <c r="AE100" i="5"/>
  <c r="AA100" i="5"/>
  <c r="W100" i="5"/>
  <c r="M100" i="5"/>
  <c r="J100" i="5"/>
  <c r="AE99" i="5"/>
  <c r="AA99" i="5"/>
  <c r="W99" i="5"/>
  <c r="M99" i="5"/>
  <c r="J99" i="5"/>
  <c r="AE98" i="5"/>
  <c r="AA98" i="5"/>
  <c r="W98" i="5"/>
  <c r="M98" i="5"/>
  <c r="J98" i="5"/>
  <c r="AE97" i="5"/>
  <c r="AA97" i="5"/>
  <c r="W97" i="5"/>
  <c r="M97" i="5"/>
  <c r="J97" i="5"/>
  <c r="AE96" i="5"/>
  <c r="AA96" i="5"/>
  <c r="W96" i="5"/>
  <c r="M96" i="5"/>
  <c r="J96" i="5"/>
  <c r="AE95" i="5"/>
  <c r="AA95" i="5"/>
  <c r="W95" i="5"/>
  <c r="M95" i="5"/>
  <c r="J95" i="5"/>
  <c r="C95" i="5"/>
  <c r="AE94" i="5"/>
  <c r="AA94" i="5"/>
  <c r="W94" i="5"/>
  <c r="Q94" i="5"/>
  <c r="M94" i="5"/>
  <c r="J94" i="5"/>
  <c r="C94" i="5"/>
  <c r="AE93" i="5"/>
  <c r="AA93" i="5"/>
  <c r="W93" i="5"/>
  <c r="M93" i="5"/>
  <c r="J93" i="5"/>
  <c r="C93" i="5"/>
  <c r="AE92" i="5"/>
  <c r="AA92" i="5"/>
  <c r="W92" i="5"/>
  <c r="Q92" i="5"/>
  <c r="M92" i="5"/>
  <c r="J92" i="5"/>
  <c r="C92" i="5"/>
  <c r="AE91" i="5"/>
  <c r="AA91" i="5"/>
  <c r="W91" i="5"/>
  <c r="M91" i="5"/>
  <c r="J91" i="5"/>
  <c r="C91" i="5"/>
  <c r="AE90" i="5"/>
  <c r="AA90" i="5"/>
  <c r="W90" i="5"/>
  <c r="M90" i="5"/>
  <c r="J90" i="5"/>
  <c r="C90" i="5"/>
  <c r="AE89" i="5"/>
  <c r="AA89" i="5"/>
  <c r="W89" i="5"/>
  <c r="M89" i="5"/>
  <c r="J89" i="5"/>
  <c r="C89" i="5"/>
  <c r="AE88" i="5"/>
  <c r="AA88" i="5"/>
  <c r="W88" i="5"/>
  <c r="M88" i="5"/>
  <c r="J88" i="5"/>
  <c r="C88" i="5"/>
  <c r="AE87" i="5"/>
  <c r="AA87" i="5"/>
  <c r="W87" i="5"/>
  <c r="M87" i="5"/>
  <c r="J87" i="5"/>
  <c r="C87" i="5"/>
  <c r="AE86" i="5"/>
  <c r="AA86" i="5"/>
  <c r="W86" i="5"/>
  <c r="Q86" i="5"/>
  <c r="M86" i="5"/>
  <c r="J86" i="5"/>
  <c r="C86" i="5"/>
  <c r="AE85" i="5"/>
  <c r="AA85" i="5"/>
  <c r="W85" i="5"/>
  <c r="M85" i="5"/>
  <c r="J85" i="5"/>
  <c r="C85" i="5"/>
  <c r="AE84" i="5"/>
  <c r="AA84" i="5"/>
  <c r="W84" i="5"/>
  <c r="M84" i="5"/>
  <c r="J84" i="5"/>
  <c r="C84" i="5"/>
  <c r="AE83" i="5"/>
  <c r="AA83" i="5"/>
  <c r="W83" i="5"/>
  <c r="M83" i="5"/>
  <c r="J83" i="5"/>
  <c r="C83" i="5"/>
  <c r="AE82" i="5"/>
  <c r="AA82" i="5"/>
  <c r="W82" i="5"/>
  <c r="M82" i="5"/>
  <c r="J82" i="5"/>
  <c r="C82" i="5"/>
  <c r="AE81" i="5"/>
  <c r="AA81" i="5"/>
  <c r="W81" i="5"/>
  <c r="M81" i="5"/>
  <c r="J81" i="5"/>
  <c r="C81" i="5"/>
  <c r="AE80" i="5"/>
  <c r="AA80" i="5"/>
  <c r="W80" i="5"/>
  <c r="M80" i="5"/>
  <c r="J80" i="5"/>
  <c r="C80" i="5"/>
  <c r="AE79" i="5"/>
  <c r="AA79" i="5"/>
  <c r="W79" i="5"/>
  <c r="M79" i="5"/>
  <c r="J79" i="5"/>
  <c r="C79" i="5"/>
  <c r="AE78" i="5"/>
  <c r="AA78" i="5"/>
  <c r="W78" i="5"/>
  <c r="M78" i="5"/>
  <c r="J78" i="5"/>
  <c r="C78" i="5"/>
  <c r="AE77" i="5"/>
  <c r="AA77" i="5"/>
  <c r="W77" i="5"/>
  <c r="M77" i="5"/>
  <c r="X77" i="5" s="1"/>
  <c r="J77" i="5"/>
  <c r="AE76" i="5"/>
  <c r="AA76" i="5"/>
  <c r="W76" i="5"/>
  <c r="Y76" i="5" s="1"/>
  <c r="M76" i="5"/>
  <c r="X76" i="5" s="1"/>
  <c r="J76" i="5"/>
  <c r="AE75" i="5"/>
  <c r="AA75" i="5"/>
  <c r="Y75" i="5"/>
  <c r="W75" i="5"/>
  <c r="M75" i="5"/>
  <c r="J75" i="5"/>
  <c r="AE74" i="5"/>
  <c r="AA74" i="5"/>
  <c r="Q74" i="5"/>
  <c r="M74" i="5"/>
  <c r="J74" i="5"/>
  <c r="AE73" i="5"/>
  <c r="AA73" i="5"/>
  <c r="M73" i="5"/>
  <c r="J73" i="5"/>
  <c r="AE72" i="5"/>
  <c r="AA72" i="5"/>
  <c r="M72" i="5"/>
  <c r="J72" i="5"/>
  <c r="AE71" i="5"/>
  <c r="AA71" i="5"/>
  <c r="M71" i="5"/>
  <c r="J71" i="5"/>
  <c r="AE70" i="5"/>
  <c r="AA70" i="5"/>
  <c r="M70" i="5"/>
  <c r="J70" i="5"/>
  <c r="AE69" i="5"/>
  <c r="AA69" i="5"/>
  <c r="M69" i="5"/>
  <c r="J69" i="5"/>
  <c r="AE68" i="5"/>
  <c r="AA68" i="5"/>
  <c r="Q68" i="5"/>
  <c r="M68" i="5"/>
  <c r="J68" i="5"/>
  <c r="AE67" i="5"/>
  <c r="AA67" i="5"/>
  <c r="M67" i="5"/>
  <c r="J67" i="5"/>
  <c r="AE66" i="5"/>
  <c r="AA66" i="5"/>
  <c r="M66" i="5"/>
  <c r="J66" i="5"/>
  <c r="AE65" i="5"/>
  <c r="AA65" i="5"/>
  <c r="M65" i="5"/>
  <c r="J65" i="5"/>
  <c r="AE64" i="5"/>
  <c r="AA64" i="5"/>
  <c r="M64" i="5"/>
  <c r="J64" i="5"/>
  <c r="AE63" i="5"/>
  <c r="AA63" i="5"/>
  <c r="M63" i="5"/>
  <c r="J63" i="5"/>
  <c r="AE62" i="5"/>
  <c r="AA62" i="5"/>
  <c r="M62" i="5"/>
  <c r="J62" i="5"/>
  <c r="AE61" i="5"/>
  <c r="AA61" i="5"/>
  <c r="M61" i="5"/>
  <c r="J61" i="5"/>
  <c r="AE60" i="5"/>
  <c r="AA60" i="5"/>
  <c r="Q60" i="5"/>
  <c r="M60" i="5"/>
  <c r="J60" i="5"/>
  <c r="AE59" i="5"/>
  <c r="AA59" i="5"/>
  <c r="M59" i="5"/>
  <c r="J59" i="5"/>
  <c r="AE58" i="5"/>
  <c r="AA58" i="5"/>
  <c r="M58" i="5"/>
  <c r="J58" i="5"/>
  <c r="AE57" i="5"/>
  <c r="AA57" i="5"/>
  <c r="M57" i="5"/>
  <c r="J57" i="5"/>
  <c r="AE56" i="5"/>
  <c r="AA56" i="5"/>
  <c r="M56" i="5"/>
  <c r="J56" i="5"/>
  <c r="AE55" i="5"/>
  <c r="AA55" i="5"/>
  <c r="M55" i="5"/>
  <c r="J55" i="5"/>
  <c r="AE54" i="5"/>
  <c r="AA54" i="5"/>
  <c r="M54" i="5"/>
  <c r="J54" i="5"/>
  <c r="AE53" i="5"/>
  <c r="AA53" i="5"/>
  <c r="M53" i="5"/>
  <c r="J53" i="5"/>
  <c r="AE52" i="5"/>
  <c r="AA52" i="5"/>
  <c r="M52" i="5"/>
  <c r="J52" i="5"/>
  <c r="AE51" i="5"/>
  <c r="AA51" i="5"/>
  <c r="M51" i="5"/>
  <c r="J51" i="5"/>
  <c r="AE50" i="5"/>
  <c r="AA50" i="5"/>
  <c r="M50" i="5"/>
  <c r="J50" i="5"/>
  <c r="C50" i="5"/>
  <c r="AE49" i="5"/>
  <c r="AA49" i="5"/>
  <c r="M49" i="5"/>
  <c r="J49" i="5"/>
  <c r="E49" i="5"/>
  <c r="D49" i="5"/>
  <c r="B49" i="5"/>
  <c r="AE48" i="5"/>
  <c r="AA48" i="5"/>
  <c r="M48" i="5"/>
  <c r="J48" i="5"/>
  <c r="C48" i="5"/>
  <c r="AE47" i="5"/>
  <c r="AA47" i="5"/>
  <c r="M47" i="5"/>
  <c r="J47" i="5"/>
  <c r="E47" i="5"/>
  <c r="AE46" i="5"/>
  <c r="AA46" i="5"/>
  <c r="Q46" i="5"/>
  <c r="M46" i="5"/>
  <c r="J46" i="5"/>
  <c r="E46" i="5"/>
  <c r="D46" i="5"/>
  <c r="D47" i="5" s="1"/>
  <c r="Q88" i="5" s="1"/>
  <c r="C46" i="5"/>
  <c r="C47" i="5" s="1"/>
  <c r="B46" i="5"/>
  <c r="B47" i="5" s="1"/>
  <c r="AE45" i="5"/>
  <c r="AA45" i="5"/>
  <c r="M45" i="5"/>
  <c r="J45" i="5"/>
  <c r="Q24" i="5"/>
  <c r="C45" i="5"/>
  <c r="AE44" i="5"/>
  <c r="AA44" i="5"/>
  <c r="M44" i="5"/>
  <c r="J44" i="5"/>
  <c r="C44" i="5"/>
  <c r="M43" i="5"/>
  <c r="J43" i="5"/>
  <c r="E43" i="5"/>
  <c r="B43" i="5"/>
  <c r="C43" i="5" s="1"/>
  <c r="AE42" i="5"/>
  <c r="AA42" i="5"/>
  <c r="M42" i="5"/>
  <c r="J42" i="5"/>
  <c r="C42" i="5"/>
  <c r="AE41" i="5"/>
  <c r="AA41" i="5"/>
  <c r="M41" i="5"/>
  <c r="J41" i="5"/>
  <c r="C41" i="5"/>
  <c r="AE40" i="5"/>
  <c r="AA40" i="5"/>
  <c r="M40" i="5"/>
  <c r="J40" i="5"/>
  <c r="C40" i="5"/>
  <c r="AE39" i="5"/>
  <c r="AA39" i="5"/>
  <c r="M39" i="5"/>
  <c r="J39" i="5"/>
  <c r="C39" i="5"/>
  <c r="AE38" i="5"/>
  <c r="AA38" i="5"/>
  <c r="M38" i="5"/>
  <c r="J38" i="5"/>
  <c r="C38" i="5"/>
  <c r="AE37" i="5"/>
  <c r="AA37" i="5"/>
  <c r="M37" i="5"/>
  <c r="J37" i="5"/>
  <c r="C37" i="5"/>
  <c r="AE36" i="5"/>
  <c r="AA36" i="5"/>
  <c r="Q36" i="5"/>
  <c r="M36" i="5"/>
  <c r="J36" i="5"/>
  <c r="C36" i="5"/>
  <c r="AE35" i="5"/>
  <c r="AA35" i="5"/>
  <c r="Q35" i="5"/>
  <c r="M35" i="5"/>
  <c r="J35" i="5"/>
  <c r="C35" i="5"/>
  <c r="AE34" i="5"/>
  <c r="AA34" i="5"/>
  <c r="M34" i="5"/>
  <c r="J34" i="5"/>
  <c r="C34" i="5"/>
  <c r="AE33" i="5"/>
  <c r="AA33" i="5"/>
  <c r="Q33" i="5"/>
  <c r="M33" i="5"/>
  <c r="J33" i="5"/>
  <c r="C33" i="5"/>
  <c r="AE32" i="5"/>
  <c r="AA32" i="5"/>
  <c r="M32" i="5"/>
  <c r="J32" i="5"/>
  <c r="C32" i="5"/>
  <c r="AE31" i="5"/>
  <c r="AA31" i="5"/>
  <c r="M31" i="5"/>
  <c r="J31" i="5"/>
  <c r="C31" i="5"/>
  <c r="AE30" i="5"/>
  <c r="AA30" i="5"/>
  <c r="M30" i="5"/>
  <c r="J30" i="5"/>
  <c r="C30" i="5"/>
  <c r="AE29" i="5"/>
  <c r="AA29" i="5"/>
  <c r="Q29" i="5"/>
  <c r="M29" i="5"/>
  <c r="J29" i="5"/>
  <c r="C29" i="5"/>
  <c r="AE28" i="5"/>
  <c r="AA28" i="5"/>
  <c r="M28" i="5"/>
  <c r="J28" i="5"/>
  <c r="C28" i="5"/>
  <c r="AE27" i="5"/>
  <c r="AA27" i="5"/>
  <c r="Q27" i="5"/>
  <c r="M27" i="5"/>
  <c r="J27" i="5"/>
  <c r="C27" i="5"/>
  <c r="AE26" i="5"/>
  <c r="AA26" i="5"/>
  <c r="Q26" i="5"/>
  <c r="M26" i="5"/>
  <c r="N26" i="5" s="1"/>
  <c r="J26" i="5"/>
  <c r="C26" i="5"/>
  <c r="AF25" i="5"/>
  <c r="AE25" i="5"/>
  <c r="AB25" i="5"/>
  <c r="AA25" i="5"/>
  <c r="R25" i="5"/>
  <c r="M25" i="5"/>
  <c r="J25" i="5"/>
  <c r="C25" i="5"/>
  <c r="AE24" i="5"/>
  <c r="AA24" i="5"/>
  <c r="I24" i="5"/>
  <c r="O24" i="5" s="1"/>
  <c r="C24" i="5"/>
  <c r="C23" i="5"/>
  <c r="AG22" i="5"/>
  <c r="AC22" i="5"/>
  <c r="T22" i="5"/>
  <c r="O22" i="5"/>
  <c r="K22" i="5"/>
  <c r="C22" i="5"/>
  <c r="AG21" i="5"/>
  <c r="AC21" i="5"/>
  <c r="T21" i="5"/>
  <c r="D15" i="5"/>
  <c r="D16" i="5" s="1"/>
  <c r="D17" i="5" s="1"/>
  <c r="F17" i="5" s="1"/>
  <c r="D5" i="5" s="1"/>
  <c r="J14" i="5"/>
  <c r="K14" i="5" s="1"/>
  <c r="D14" i="5"/>
  <c r="K4" i="5"/>
  <c r="K5" i="5" s="1"/>
  <c r="M5" i="5" s="1"/>
  <c r="D4" i="5"/>
  <c r="AE118" i="4"/>
  <c r="AA118" i="4"/>
  <c r="W118" i="4"/>
  <c r="M118" i="4"/>
  <c r="J118" i="4"/>
  <c r="AE117" i="4"/>
  <c r="AA117" i="4"/>
  <c r="W117" i="4"/>
  <c r="M117" i="4"/>
  <c r="J117" i="4"/>
  <c r="AE116" i="4"/>
  <c r="AA116" i="4"/>
  <c r="W116" i="4"/>
  <c r="M116" i="4"/>
  <c r="J116" i="4"/>
  <c r="AE115" i="4"/>
  <c r="AA115" i="4"/>
  <c r="W115" i="4"/>
  <c r="M115" i="4"/>
  <c r="J115" i="4"/>
  <c r="AE114" i="4"/>
  <c r="AA114" i="4"/>
  <c r="W114" i="4"/>
  <c r="M114" i="4"/>
  <c r="J114" i="4"/>
  <c r="AE113" i="4"/>
  <c r="AA113" i="4"/>
  <c r="W113" i="4"/>
  <c r="M113" i="4"/>
  <c r="J113" i="4"/>
  <c r="AE112" i="4"/>
  <c r="AA112" i="4"/>
  <c r="W112" i="4"/>
  <c r="M112" i="4"/>
  <c r="J112" i="4"/>
  <c r="AE111" i="4"/>
  <c r="AA111" i="4"/>
  <c r="W111" i="4"/>
  <c r="M111" i="4"/>
  <c r="J111" i="4"/>
  <c r="AE110" i="4"/>
  <c r="AA110" i="4"/>
  <c r="W110" i="4"/>
  <c r="M110" i="4"/>
  <c r="J110" i="4"/>
  <c r="AE109" i="4"/>
  <c r="AA109" i="4"/>
  <c r="W109" i="4"/>
  <c r="M109" i="4"/>
  <c r="J109" i="4"/>
  <c r="AE108" i="4"/>
  <c r="AA108" i="4"/>
  <c r="W108" i="4"/>
  <c r="M108" i="4"/>
  <c r="J108" i="4"/>
  <c r="AE107" i="4"/>
  <c r="AA107" i="4"/>
  <c r="W107" i="4"/>
  <c r="M107" i="4"/>
  <c r="J107" i="4"/>
  <c r="AE106" i="4"/>
  <c r="AA106" i="4"/>
  <c r="W106" i="4"/>
  <c r="M106" i="4"/>
  <c r="J106" i="4"/>
  <c r="AE105" i="4"/>
  <c r="AA105" i="4"/>
  <c r="W105" i="4"/>
  <c r="M105" i="4"/>
  <c r="J105" i="4"/>
  <c r="AE104" i="4"/>
  <c r="AA104" i="4"/>
  <c r="W104" i="4"/>
  <c r="M104" i="4"/>
  <c r="J104" i="4"/>
  <c r="AE103" i="4"/>
  <c r="AA103" i="4"/>
  <c r="W103" i="4"/>
  <c r="M103" i="4"/>
  <c r="J103" i="4"/>
  <c r="AE102" i="4"/>
  <c r="AA102" i="4"/>
  <c r="W102" i="4"/>
  <c r="M102" i="4"/>
  <c r="J102" i="4"/>
  <c r="AE101" i="4"/>
  <c r="AA101" i="4"/>
  <c r="W101" i="4"/>
  <c r="M101" i="4"/>
  <c r="J101" i="4"/>
  <c r="AE100" i="4"/>
  <c r="AA100" i="4"/>
  <c r="W100" i="4"/>
  <c r="M100" i="4"/>
  <c r="J100" i="4"/>
  <c r="AE99" i="4"/>
  <c r="AA99" i="4"/>
  <c r="W99" i="4"/>
  <c r="M99" i="4"/>
  <c r="J99" i="4"/>
  <c r="AE98" i="4"/>
  <c r="AA98" i="4"/>
  <c r="W98" i="4"/>
  <c r="M98" i="4"/>
  <c r="J98" i="4"/>
  <c r="AE97" i="4"/>
  <c r="AA97" i="4"/>
  <c r="W97" i="4"/>
  <c r="M97" i="4"/>
  <c r="J97" i="4"/>
  <c r="AE96" i="4"/>
  <c r="AA96" i="4"/>
  <c r="W96" i="4"/>
  <c r="M96" i="4"/>
  <c r="J96" i="4"/>
  <c r="AE95" i="4"/>
  <c r="AA95" i="4"/>
  <c r="W95" i="4"/>
  <c r="M95" i="4"/>
  <c r="J95" i="4"/>
  <c r="C95" i="4"/>
  <c r="AE94" i="4"/>
  <c r="AA94" i="4"/>
  <c r="W94" i="4"/>
  <c r="M94" i="4"/>
  <c r="J94" i="4"/>
  <c r="C94" i="4"/>
  <c r="AE93" i="4"/>
  <c r="AA93" i="4"/>
  <c r="W93" i="4"/>
  <c r="M93" i="4"/>
  <c r="J93" i="4"/>
  <c r="C93" i="4"/>
  <c r="AE92" i="4"/>
  <c r="AA92" i="4"/>
  <c r="W92" i="4"/>
  <c r="M92" i="4"/>
  <c r="J92" i="4"/>
  <c r="C92" i="4"/>
  <c r="AE91" i="4"/>
  <c r="AA91" i="4"/>
  <c r="W91" i="4"/>
  <c r="M91" i="4"/>
  <c r="J91" i="4"/>
  <c r="C91" i="4"/>
  <c r="AE90" i="4"/>
  <c r="AA90" i="4"/>
  <c r="W90" i="4"/>
  <c r="M90" i="4"/>
  <c r="J90" i="4"/>
  <c r="C90" i="4"/>
  <c r="AE89" i="4"/>
  <c r="AA89" i="4"/>
  <c r="W89" i="4"/>
  <c r="M89" i="4"/>
  <c r="J89" i="4"/>
  <c r="C89" i="4"/>
  <c r="AE88" i="4"/>
  <c r="AA88" i="4"/>
  <c r="W88" i="4"/>
  <c r="M88" i="4"/>
  <c r="J88" i="4"/>
  <c r="C88" i="4"/>
  <c r="AE87" i="4"/>
  <c r="AA87" i="4"/>
  <c r="W87" i="4"/>
  <c r="M87" i="4"/>
  <c r="J87" i="4"/>
  <c r="C87" i="4"/>
  <c r="AE86" i="4"/>
  <c r="AA86" i="4"/>
  <c r="W86" i="4"/>
  <c r="M86" i="4"/>
  <c r="J86" i="4"/>
  <c r="C86" i="4"/>
  <c r="AE85" i="4"/>
  <c r="AA85" i="4"/>
  <c r="W85" i="4"/>
  <c r="M85" i="4"/>
  <c r="J85" i="4"/>
  <c r="C85" i="4"/>
  <c r="AE84" i="4"/>
  <c r="AA84" i="4"/>
  <c r="W84" i="4"/>
  <c r="M84" i="4"/>
  <c r="J84" i="4"/>
  <c r="C84" i="4"/>
  <c r="AE83" i="4"/>
  <c r="AA83" i="4"/>
  <c r="W83" i="4"/>
  <c r="M83" i="4"/>
  <c r="J83" i="4"/>
  <c r="C83" i="4"/>
  <c r="AE82" i="4"/>
  <c r="AA82" i="4"/>
  <c r="W82" i="4"/>
  <c r="M82" i="4"/>
  <c r="J82" i="4"/>
  <c r="C82" i="4"/>
  <c r="AE81" i="4"/>
  <c r="AA81" i="4"/>
  <c r="W81" i="4"/>
  <c r="M81" i="4"/>
  <c r="J81" i="4"/>
  <c r="C81" i="4"/>
  <c r="AE80" i="4"/>
  <c r="AA80" i="4"/>
  <c r="W80" i="4"/>
  <c r="M80" i="4"/>
  <c r="J80" i="4"/>
  <c r="C80" i="4"/>
  <c r="AE79" i="4"/>
  <c r="AA79" i="4"/>
  <c r="W79" i="4"/>
  <c r="M79" i="4"/>
  <c r="J79" i="4"/>
  <c r="C79" i="4"/>
  <c r="AE78" i="4"/>
  <c r="AA78" i="4"/>
  <c r="W78" i="4"/>
  <c r="M78" i="4"/>
  <c r="J78" i="4"/>
  <c r="C78" i="4"/>
  <c r="AE77" i="4"/>
  <c r="AA77" i="4"/>
  <c r="W77" i="4"/>
  <c r="M77" i="4"/>
  <c r="J77" i="4"/>
  <c r="AE76" i="4"/>
  <c r="AA76" i="4"/>
  <c r="W76" i="4"/>
  <c r="M76" i="4"/>
  <c r="X76" i="4" s="1"/>
  <c r="X77" i="4" s="1"/>
  <c r="J76" i="4"/>
  <c r="AE75" i="4"/>
  <c r="AA75" i="4"/>
  <c r="W75" i="4"/>
  <c r="Y75" i="4" s="1"/>
  <c r="M75" i="4"/>
  <c r="J75" i="4"/>
  <c r="AE74" i="4"/>
  <c r="AA74" i="4"/>
  <c r="M74" i="4"/>
  <c r="J74" i="4"/>
  <c r="AE73" i="4"/>
  <c r="AA73" i="4"/>
  <c r="M73" i="4"/>
  <c r="J73" i="4"/>
  <c r="AE72" i="4"/>
  <c r="AA72" i="4"/>
  <c r="M72" i="4"/>
  <c r="J72" i="4"/>
  <c r="AE71" i="4"/>
  <c r="AA71" i="4"/>
  <c r="M71" i="4"/>
  <c r="J71" i="4"/>
  <c r="AE70" i="4"/>
  <c r="AA70" i="4"/>
  <c r="M70" i="4"/>
  <c r="J70" i="4"/>
  <c r="AE69" i="4"/>
  <c r="AA69" i="4"/>
  <c r="M69" i="4"/>
  <c r="J69" i="4"/>
  <c r="AE68" i="4"/>
  <c r="AA68" i="4"/>
  <c r="M68" i="4"/>
  <c r="J68" i="4"/>
  <c r="AE67" i="4"/>
  <c r="AA67" i="4"/>
  <c r="M67" i="4"/>
  <c r="J67" i="4"/>
  <c r="AE66" i="4"/>
  <c r="AA66" i="4"/>
  <c r="M66" i="4"/>
  <c r="J66" i="4"/>
  <c r="AE65" i="4"/>
  <c r="AA65" i="4"/>
  <c r="M65" i="4"/>
  <c r="J65" i="4"/>
  <c r="AE64" i="4"/>
  <c r="AA64" i="4"/>
  <c r="M64" i="4"/>
  <c r="J64" i="4"/>
  <c r="AE63" i="4"/>
  <c r="AA63" i="4"/>
  <c r="M63" i="4"/>
  <c r="J63" i="4"/>
  <c r="AE62" i="4"/>
  <c r="AA62" i="4"/>
  <c r="M62" i="4"/>
  <c r="J62" i="4"/>
  <c r="AE61" i="4"/>
  <c r="AA61" i="4"/>
  <c r="M61" i="4"/>
  <c r="J61" i="4"/>
  <c r="AE60" i="4"/>
  <c r="AA60" i="4"/>
  <c r="M60" i="4"/>
  <c r="J60" i="4"/>
  <c r="AE59" i="4"/>
  <c r="AA59" i="4"/>
  <c r="M59" i="4"/>
  <c r="J59" i="4"/>
  <c r="AE58" i="4"/>
  <c r="AA58" i="4"/>
  <c r="M58" i="4"/>
  <c r="J58" i="4"/>
  <c r="AE57" i="4"/>
  <c r="AA57" i="4"/>
  <c r="M57" i="4"/>
  <c r="J57" i="4"/>
  <c r="AE56" i="4"/>
  <c r="AA56" i="4"/>
  <c r="M56" i="4"/>
  <c r="J56" i="4"/>
  <c r="AE55" i="4"/>
  <c r="AA55" i="4"/>
  <c r="M55" i="4"/>
  <c r="J55" i="4"/>
  <c r="AE54" i="4"/>
  <c r="AA54" i="4"/>
  <c r="M54" i="4"/>
  <c r="J54" i="4"/>
  <c r="AE53" i="4"/>
  <c r="AA53" i="4"/>
  <c r="M53" i="4"/>
  <c r="J53" i="4"/>
  <c r="AE52" i="4"/>
  <c r="AA52" i="4"/>
  <c r="M52" i="4"/>
  <c r="J52" i="4"/>
  <c r="AE51" i="4"/>
  <c r="AA51" i="4"/>
  <c r="M51" i="4"/>
  <c r="J51" i="4"/>
  <c r="AE50" i="4"/>
  <c r="AA50" i="4"/>
  <c r="M50" i="4"/>
  <c r="J50" i="4"/>
  <c r="C50" i="4"/>
  <c r="AE49" i="4"/>
  <c r="AA49" i="4"/>
  <c r="M49" i="4"/>
  <c r="J49" i="4"/>
  <c r="E49" i="4"/>
  <c r="D49" i="4"/>
  <c r="B49" i="4"/>
  <c r="AE48" i="4"/>
  <c r="AA48" i="4"/>
  <c r="M48" i="4"/>
  <c r="J48" i="4"/>
  <c r="C48" i="4"/>
  <c r="AE47" i="4"/>
  <c r="AA47" i="4"/>
  <c r="M47" i="4"/>
  <c r="J47" i="4"/>
  <c r="AE46" i="4"/>
  <c r="AA46" i="4"/>
  <c r="M46" i="4"/>
  <c r="J46" i="4"/>
  <c r="E46" i="4"/>
  <c r="E47" i="4" s="1"/>
  <c r="D46" i="4"/>
  <c r="B46" i="4"/>
  <c r="B47" i="4" s="1"/>
  <c r="AE45" i="4"/>
  <c r="AA45" i="4"/>
  <c r="M45" i="4"/>
  <c r="J45" i="4"/>
  <c r="C45" i="4"/>
  <c r="C46" i="4" s="1"/>
  <c r="C47" i="4" s="1"/>
  <c r="AE44" i="4"/>
  <c r="AA44" i="4"/>
  <c r="M44" i="4"/>
  <c r="J44" i="4"/>
  <c r="C44" i="4"/>
  <c r="M43" i="4"/>
  <c r="J43" i="4"/>
  <c r="E43" i="4"/>
  <c r="B43" i="4"/>
  <c r="C43" i="4" s="1"/>
  <c r="AE42" i="4"/>
  <c r="AA42" i="4"/>
  <c r="M42" i="4"/>
  <c r="J42" i="4"/>
  <c r="C42" i="4"/>
  <c r="AE41" i="4"/>
  <c r="AA41" i="4"/>
  <c r="M41" i="4"/>
  <c r="J41" i="4"/>
  <c r="C41" i="4"/>
  <c r="AE40" i="4"/>
  <c r="AA40" i="4"/>
  <c r="M40" i="4"/>
  <c r="J40" i="4"/>
  <c r="C40" i="4"/>
  <c r="AE39" i="4"/>
  <c r="AA39" i="4"/>
  <c r="M39" i="4"/>
  <c r="J39" i="4"/>
  <c r="C39" i="4"/>
  <c r="AE38" i="4"/>
  <c r="AA38" i="4"/>
  <c r="M38" i="4"/>
  <c r="J38" i="4"/>
  <c r="C38" i="4"/>
  <c r="AE37" i="4"/>
  <c r="AA37" i="4"/>
  <c r="M37" i="4"/>
  <c r="J37" i="4"/>
  <c r="C37" i="4"/>
  <c r="AE36" i="4"/>
  <c r="AA36" i="4"/>
  <c r="M36" i="4"/>
  <c r="J36" i="4"/>
  <c r="C36" i="4"/>
  <c r="AE35" i="4"/>
  <c r="AA35" i="4"/>
  <c r="M35" i="4"/>
  <c r="J35" i="4"/>
  <c r="C35" i="4"/>
  <c r="AE34" i="4"/>
  <c r="AA34" i="4"/>
  <c r="M34" i="4"/>
  <c r="J34" i="4"/>
  <c r="C34" i="4"/>
  <c r="AE33" i="4"/>
  <c r="AA33" i="4"/>
  <c r="M33" i="4"/>
  <c r="J33" i="4"/>
  <c r="C33" i="4"/>
  <c r="AE32" i="4"/>
  <c r="AA32" i="4"/>
  <c r="M32" i="4"/>
  <c r="J32" i="4"/>
  <c r="C32" i="4"/>
  <c r="AE31" i="4"/>
  <c r="AA31" i="4"/>
  <c r="M31" i="4"/>
  <c r="J31" i="4"/>
  <c r="C31" i="4"/>
  <c r="AE30" i="4"/>
  <c r="AA30" i="4"/>
  <c r="M30" i="4"/>
  <c r="J30" i="4"/>
  <c r="C30" i="4"/>
  <c r="AE29" i="4"/>
  <c r="AA29" i="4"/>
  <c r="M29" i="4"/>
  <c r="J29" i="4"/>
  <c r="C29" i="4"/>
  <c r="AE28" i="4"/>
  <c r="AA28" i="4"/>
  <c r="M28" i="4"/>
  <c r="J28" i="4"/>
  <c r="C28" i="4"/>
  <c r="AE27" i="4"/>
  <c r="AA27" i="4"/>
  <c r="M27" i="4"/>
  <c r="J27" i="4"/>
  <c r="C27" i="4"/>
  <c r="AE26" i="4"/>
  <c r="AA26" i="4"/>
  <c r="M26" i="4"/>
  <c r="AB26" i="4" s="1"/>
  <c r="J26" i="4"/>
  <c r="C26" i="4"/>
  <c r="AF25" i="4"/>
  <c r="AE25" i="4"/>
  <c r="AG25" i="4" s="1"/>
  <c r="AH25" i="4" s="1"/>
  <c r="AB25" i="4"/>
  <c r="AA25" i="4"/>
  <c r="R25" i="4"/>
  <c r="J25" i="4"/>
  <c r="C25" i="4"/>
  <c r="I24" i="4"/>
  <c r="C24" i="4"/>
  <c r="C23" i="4"/>
  <c r="AG22" i="4"/>
  <c r="AC22" i="4"/>
  <c r="O22" i="4"/>
  <c r="K22" i="4"/>
  <c r="C22" i="4"/>
  <c r="AG21" i="4"/>
  <c r="AC21" i="4"/>
  <c r="T21" i="4"/>
  <c r="J14" i="4"/>
  <c r="K14" i="4" s="1"/>
  <c r="D14" i="4"/>
  <c r="D15" i="4" s="1"/>
  <c r="D16" i="4" s="1"/>
  <c r="D5" i="4" s="1"/>
  <c r="K4" i="4"/>
  <c r="D3" i="4" s="1"/>
  <c r="D4" i="1"/>
  <c r="K30" i="1"/>
  <c r="I24" i="1"/>
  <c r="K24" i="1" s="1"/>
  <c r="X78" i="4" l="1"/>
  <c r="X79" i="4" s="1"/>
  <c r="X80" i="4" s="1"/>
  <c r="X81" i="4" s="1"/>
  <c r="X82" i="4" s="1"/>
  <c r="X83" i="4" s="1"/>
  <c r="AC26" i="4"/>
  <c r="AD26" i="4" s="1"/>
  <c r="G45" i="4"/>
  <c r="Y79" i="4"/>
  <c r="Y78" i="4"/>
  <c r="R26" i="4"/>
  <c r="AF26" i="4"/>
  <c r="AG26" i="4" s="1"/>
  <c r="AH26" i="4" s="1"/>
  <c r="Y77" i="4"/>
  <c r="AC25" i="4"/>
  <c r="AD25" i="4" s="1"/>
  <c r="AF26" i="5"/>
  <c r="AB26" i="5"/>
  <c r="AC26" i="5" s="1"/>
  <c r="AD26" i="5" s="1"/>
  <c r="R26" i="5"/>
  <c r="O26" i="5"/>
  <c r="P26" i="5" s="1"/>
  <c r="T26" i="5"/>
  <c r="C49" i="5"/>
  <c r="Q75" i="5"/>
  <c r="K106" i="5"/>
  <c r="K92" i="5"/>
  <c r="K78" i="5"/>
  <c r="K64" i="5"/>
  <c r="K50" i="5"/>
  <c r="K36" i="5"/>
  <c r="Q28" i="5"/>
  <c r="Q53" i="5"/>
  <c r="Q56" i="5"/>
  <c r="K105" i="5"/>
  <c r="K91" i="5"/>
  <c r="K77" i="5"/>
  <c r="K63" i="5"/>
  <c r="K49" i="5"/>
  <c r="K35" i="5"/>
  <c r="Q114" i="5"/>
  <c r="X78" i="5"/>
  <c r="Y78" i="5" s="1"/>
  <c r="Q41" i="5"/>
  <c r="Q48" i="5"/>
  <c r="Q66" i="5"/>
  <c r="Q80" i="5"/>
  <c r="AC25" i="5"/>
  <c r="AD25" i="5" s="1"/>
  <c r="Q34" i="5"/>
  <c r="Q57" i="5"/>
  <c r="Q99" i="5"/>
  <c r="K114" i="5"/>
  <c r="K100" i="5"/>
  <c r="K86" i="5"/>
  <c r="K72" i="5"/>
  <c r="K58" i="5"/>
  <c r="K44" i="5"/>
  <c r="K30" i="5"/>
  <c r="N27" i="5"/>
  <c r="AF27" i="5" s="1"/>
  <c r="AG27" i="5" s="1"/>
  <c r="AH27" i="5" s="1"/>
  <c r="Q37" i="5"/>
  <c r="Q52" i="5"/>
  <c r="Q55" i="5"/>
  <c r="Q61" i="5"/>
  <c r="Q118" i="5"/>
  <c r="Q47" i="5"/>
  <c r="K109" i="5"/>
  <c r="K95" i="5"/>
  <c r="K81" i="5"/>
  <c r="K67" i="5"/>
  <c r="K53" i="5"/>
  <c r="K39" i="5"/>
  <c r="D3" i="5"/>
  <c r="D8" i="5" s="1"/>
  <c r="F10" i="5" s="1"/>
  <c r="F11" i="5" s="1"/>
  <c r="M14" i="5" s="1"/>
  <c r="K7" i="5"/>
  <c r="M22" i="5" s="1"/>
  <c r="N28" i="5"/>
  <c r="O28" i="5" s="1"/>
  <c r="P28" i="5" s="1"/>
  <c r="R27" i="5"/>
  <c r="T27" i="5" s="1"/>
  <c r="U26" i="5"/>
  <c r="S26" i="5"/>
  <c r="AG26" i="5"/>
  <c r="AH26" i="5" s="1"/>
  <c r="K6" i="5"/>
  <c r="M6" i="5" s="1"/>
  <c r="O6" i="5" s="1"/>
  <c r="Q79" i="5"/>
  <c r="Q62" i="5"/>
  <c r="Q105" i="5"/>
  <c r="Q100" i="5"/>
  <c r="Q89" i="5"/>
  <c r="Q85" i="5"/>
  <c r="Q76" i="5"/>
  <c r="Q73" i="5"/>
  <c r="Q59" i="5"/>
  <c r="Q101" i="5"/>
  <c r="Q96" i="5"/>
  <c r="Q84" i="5"/>
  <c r="Q82" i="5"/>
  <c r="Q71" i="5"/>
  <c r="Q117" i="5"/>
  <c r="Q77" i="5"/>
  <c r="Q72" i="5"/>
  <c r="Q40" i="5"/>
  <c r="Q113" i="5"/>
  <c r="Q97" i="5"/>
  <c r="Q87" i="5"/>
  <c r="Q30" i="5"/>
  <c r="Q115" i="5"/>
  <c r="Q110" i="5"/>
  <c r="Q109" i="5"/>
  <c r="Q81" i="5"/>
  <c r="Q65" i="5"/>
  <c r="Q45" i="5"/>
  <c r="Q31" i="5"/>
  <c r="Q102" i="5"/>
  <c r="Q93" i="5"/>
  <c r="Q64" i="5"/>
  <c r="Q42" i="5"/>
  <c r="Q38" i="5"/>
  <c r="Q98" i="5"/>
  <c r="Q91" i="5"/>
  <c r="Q70" i="5"/>
  <c r="Q69" i="5"/>
  <c r="Q67" i="5"/>
  <c r="Q54" i="5"/>
  <c r="Q111" i="5"/>
  <c r="Q95" i="5"/>
  <c r="Q112" i="5"/>
  <c r="Q58" i="5"/>
  <c r="Q39" i="5"/>
  <c r="Q44" i="5"/>
  <c r="Q78" i="5"/>
  <c r="Q63" i="5"/>
  <c r="Q51" i="5"/>
  <c r="Q50" i="5"/>
  <c r="Q49" i="5"/>
  <c r="Q32" i="5"/>
  <c r="Q25" i="5"/>
  <c r="T25" i="5" s="1"/>
  <c r="Q83" i="5"/>
  <c r="Q90" i="5"/>
  <c r="Q106" i="5"/>
  <c r="Y77" i="5"/>
  <c r="AG25" i="5"/>
  <c r="AH25" i="5" s="1"/>
  <c r="O24" i="4"/>
  <c r="K5" i="4"/>
  <c r="M5" i="4" s="1"/>
  <c r="D8" i="4"/>
  <c r="L14" i="4" s="1"/>
  <c r="Y82" i="4"/>
  <c r="AA24" i="4"/>
  <c r="AE24" i="4"/>
  <c r="N27" i="4"/>
  <c r="O27" i="4" s="1"/>
  <c r="P27" i="4" s="1"/>
  <c r="Y81" i="4"/>
  <c r="D47" i="4"/>
  <c r="H45" i="4"/>
  <c r="Q24" i="4" s="1"/>
  <c r="C49" i="4"/>
  <c r="Y76" i="4"/>
  <c r="Y80" i="4"/>
  <c r="J14" i="1"/>
  <c r="X84" i="4" l="1"/>
  <c r="Y84" i="4" s="1"/>
  <c r="Y83" i="4"/>
  <c r="X79" i="5"/>
  <c r="O27" i="5"/>
  <c r="P27" i="5" s="1"/>
  <c r="AB27" i="5"/>
  <c r="AC27" i="5" s="1"/>
  <c r="AD27" i="5" s="1"/>
  <c r="F8" i="5"/>
  <c r="L14" i="5"/>
  <c r="U27" i="5"/>
  <c r="S27" i="5"/>
  <c r="AB28" i="5"/>
  <c r="AC28" i="5" s="1"/>
  <c r="AD28" i="5" s="1"/>
  <c r="R28" i="5"/>
  <c r="T28" i="5" s="1"/>
  <c r="N29" i="5"/>
  <c r="AF28" i="5"/>
  <c r="AG28" i="5" s="1"/>
  <c r="AH28" i="5" s="1"/>
  <c r="S25" i="5"/>
  <c r="U25" i="5"/>
  <c r="X80" i="5"/>
  <c r="Y79" i="5"/>
  <c r="F10" i="4"/>
  <c r="F11" i="4" s="1"/>
  <c r="M14" i="4" s="1"/>
  <c r="K6" i="4"/>
  <c r="M6" i="4" s="1"/>
  <c r="O6" i="4" s="1"/>
  <c r="K7" i="4"/>
  <c r="M22" i="4" s="1"/>
  <c r="F8" i="4"/>
  <c r="Q118" i="4"/>
  <c r="Q116" i="4"/>
  <c r="Q114" i="4"/>
  <c r="Q112" i="4"/>
  <c r="Q110" i="4"/>
  <c r="Q108" i="4"/>
  <c r="Q106" i="4"/>
  <c r="Q104" i="4"/>
  <c r="Q102" i="4"/>
  <c r="Q100" i="4"/>
  <c r="Q98" i="4"/>
  <c r="Q96" i="4"/>
  <c r="Q117" i="4"/>
  <c r="Q115" i="4"/>
  <c r="Q113" i="4"/>
  <c r="Q111" i="4"/>
  <c r="Q109" i="4"/>
  <c r="Q107" i="4"/>
  <c r="Q105" i="4"/>
  <c r="Q103" i="4"/>
  <c r="Q101" i="4"/>
  <c r="Q99" i="4"/>
  <c r="Q97" i="4"/>
  <c r="Q95" i="4"/>
  <c r="Q88" i="4"/>
  <c r="Q80" i="4"/>
  <c r="Q75" i="4"/>
  <c r="Q61" i="4"/>
  <c r="Q48" i="4"/>
  <c r="Q72" i="4"/>
  <c r="Q58" i="4"/>
  <c r="Q44" i="4"/>
  <c r="Q42" i="4"/>
  <c r="Q37" i="4"/>
  <c r="Q87" i="4"/>
  <c r="Q67" i="4"/>
  <c r="Q53" i="4"/>
  <c r="Q41" i="4"/>
  <c r="Q71" i="4"/>
  <c r="Q57" i="4"/>
  <c r="Q34" i="4"/>
  <c r="Q27" i="4"/>
  <c r="T27" i="4" s="1"/>
  <c r="Q49" i="4"/>
  <c r="Q46" i="4"/>
  <c r="T22" i="4"/>
  <c r="Q84" i="4"/>
  <c r="Q70" i="4"/>
  <c r="Q56" i="4"/>
  <c r="Q69" i="4"/>
  <c r="Q62" i="4"/>
  <c r="Q55" i="4"/>
  <c r="Q40" i="4"/>
  <c r="Q29" i="4"/>
  <c r="Q66" i="4"/>
  <c r="Q59" i="4"/>
  <c r="Q92" i="4"/>
  <c r="Q83" i="4"/>
  <c r="Q65" i="4"/>
  <c r="Q25" i="4"/>
  <c r="T25" i="4" s="1"/>
  <c r="Q73" i="4"/>
  <c r="Q33" i="4"/>
  <c r="Q28" i="4"/>
  <c r="Q86" i="4"/>
  <c r="Q81" i="4"/>
  <c r="Q54" i="4"/>
  <c r="Q52" i="4"/>
  <c r="Q31" i="4"/>
  <c r="Q79" i="4"/>
  <c r="Q30" i="4"/>
  <c r="Q26" i="4"/>
  <c r="T26" i="4" s="1"/>
  <c r="Q32" i="4"/>
  <c r="Q89" i="4"/>
  <c r="Q76" i="4"/>
  <c r="Q64" i="4"/>
  <c r="Q35" i="4"/>
  <c r="Q45" i="4"/>
  <c r="Q36" i="4"/>
  <c r="Q82" i="4"/>
  <c r="Q38" i="4"/>
  <c r="Q90" i="4"/>
  <c r="Q91" i="4"/>
  <c r="Q85" i="4"/>
  <c r="Q50" i="4"/>
  <c r="Q74" i="4"/>
  <c r="Q47" i="4"/>
  <c r="Q39" i="4"/>
  <c r="Q93" i="4"/>
  <c r="Q77" i="4"/>
  <c r="Q60" i="4"/>
  <c r="Q78" i="4"/>
  <c r="Q68" i="4"/>
  <c r="Q51" i="4"/>
  <c r="Q94" i="4"/>
  <c r="Q63" i="4"/>
  <c r="AF27" i="4"/>
  <c r="AG27" i="4" s="1"/>
  <c r="AH27" i="4" s="1"/>
  <c r="R27" i="4"/>
  <c r="N28" i="4"/>
  <c r="AB27" i="4"/>
  <c r="AC27" i="4" s="1"/>
  <c r="AD27" i="4" s="1"/>
  <c r="K115" i="1"/>
  <c r="K116" i="1"/>
  <c r="K117" i="1"/>
  <c r="K118" i="1"/>
  <c r="K26" i="1"/>
  <c r="K27" i="1"/>
  <c r="K28" i="1"/>
  <c r="K29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25" i="1"/>
  <c r="O22" i="1"/>
  <c r="K22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X76" i="1" s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47" i="1"/>
  <c r="J44" i="1"/>
  <c r="J43" i="1"/>
  <c r="M44" i="1"/>
  <c r="J45" i="1"/>
  <c r="M45" i="1"/>
  <c r="J46" i="1"/>
  <c r="M46" i="1"/>
  <c r="M47" i="1"/>
  <c r="E43" i="1"/>
  <c r="B43" i="1"/>
  <c r="C43" i="1" s="1"/>
  <c r="M43" i="1"/>
  <c r="W75" i="1"/>
  <c r="Y75" i="1" s="1"/>
  <c r="W76" i="1"/>
  <c r="W77" i="1"/>
  <c r="W78" i="1"/>
  <c r="W79" i="1"/>
  <c r="W80" i="1"/>
  <c r="W81" i="1"/>
  <c r="W82" i="1"/>
  <c r="W83" i="1"/>
  <c r="W84" i="1"/>
  <c r="W85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86" i="1"/>
  <c r="X85" i="4" l="1"/>
  <c r="X86" i="4" s="1"/>
  <c r="AB29" i="5"/>
  <c r="AC29" i="5" s="1"/>
  <c r="AD29" i="5" s="1"/>
  <c r="AF29" i="5"/>
  <c r="AG29" i="5" s="1"/>
  <c r="AH29" i="5" s="1"/>
  <c r="N30" i="5"/>
  <c r="R29" i="5"/>
  <c r="T29" i="5" s="1"/>
  <c r="O29" i="5"/>
  <c r="P29" i="5" s="1"/>
  <c r="S28" i="5"/>
  <c r="U28" i="5"/>
  <c r="X81" i="5"/>
  <c r="Y80" i="5"/>
  <c r="S27" i="4"/>
  <c r="U27" i="4"/>
  <c r="AB28" i="4"/>
  <c r="AC28" i="4" s="1"/>
  <c r="AD28" i="4" s="1"/>
  <c r="N29" i="4"/>
  <c r="AF28" i="4"/>
  <c r="AG28" i="4" s="1"/>
  <c r="AH28" i="4" s="1"/>
  <c r="R28" i="4"/>
  <c r="O28" i="4"/>
  <c r="P28" i="4" s="1"/>
  <c r="U26" i="4"/>
  <c r="S26" i="4"/>
  <c r="T28" i="4"/>
  <c r="S25" i="4"/>
  <c r="U25" i="4"/>
  <c r="X77" i="1"/>
  <c r="X78" i="1" s="1"/>
  <c r="X79" i="1" s="1"/>
  <c r="X80" i="1" s="1"/>
  <c r="X81" i="1" s="1"/>
  <c r="X82" i="1" s="1"/>
  <c r="X83" i="1" s="1"/>
  <c r="Y76" i="1"/>
  <c r="AA97" i="1"/>
  <c r="AE97" i="1"/>
  <c r="AA98" i="1"/>
  <c r="AE98" i="1"/>
  <c r="AA99" i="1"/>
  <c r="AE99" i="1"/>
  <c r="AA100" i="1"/>
  <c r="AE100" i="1"/>
  <c r="AA101" i="1"/>
  <c r="AE101" i="1"/>
  <c r="AA102" i="1"/>
  <c r="AE102" i="1"/>
  <c r="AA103" i="1"/>
  <c r="AE103" i="1"/>
  <c r="AA104" i="1"/>
  <c r="AE104" i="1"/>
  <c r="AA105" i="1"/>
  <c r="AE105" i="1"/>
  <c r="AA106" i="1"/>
  <c r="AE106" i="1"/>
  <c r="AA107" i="1"/>
  <c r="AE107" i="1"/>
  <c r="AA108" i="1"/>
  <c r="AE108" i="1"/>
  <c r="AA109" i="1"/>
  <c r="AE109" i="1"/>
  <c r="AA110" i="1"/>
  <c r="AE110" i="1"/>
  <c r="AA111" i="1"/>
  <c r="AE111" i="1"/>
  <c r="AA112" i="1"/>
  <c r="AE112" i="1"/>
  <c r="AA113" i="1"/>
  <c r="AE113" i="1"/>
  <c r="AA114" i="1"/>
  <c r="AE114" i="1"/>
  <c r="AA115" i="1"/>
  <c r="AE115" i="1"/>
  <c r="AA116" i="1"/>
  <c r="AE116" i="1"/>
  <c r="AA117" i="1"/>
  <c r="AE117" i="1"/>
  <c r="AA118" i="1"/>
  <c r="AE118" i="1"/>
  <c r="AA96" i="1"/>
  <c r="AE96" i="1"/>
  <c r="D46" i="1"/>
  <c r="D47" i="1" s="1"/>
  <c r="D49" i="1"/>
  <c r="C78" i="1"/>
  <c r="AA78" i="1"/>
  <c r="AE78" i="1"/>
  <c r="C79" i="1"/>
  <c r="AA79" i="1"/>
  <c r="AE79" i="1"/>
  <c r="C80" i="1"/>
  <c r="AA80" i="1"/>
  <c r="AE80" i="1"/>
  <c r="C81" i="1"/>
  <c r="AA81" i="1"/>
  <c r="AE81" i="1"/>
  <c r="C82" i="1"/>
  <c r="AA82" i="1"/>
  <c r="AE82" i="1"/>
  <c r="C83" i="1"/>
  <c r="AA83" i="1"/>
  <c r="AE83" i="1"/>
  <c r="C84" i="1"/>
  <c r="AA84" i="1"/>
  <c r="AE84" i="1"/>
  <c r="C85" i="1"/>
  <c r="AA85" i="1"/>
  <c r="AE85" i="1"/>
  <c r="C86" i="1"/>
  <c r="AA86" i="1"/>
  <c r="AE86" i="1"/>
  <c r="C87" i="1"/>
  <c r="AA87" i="1"/>
  <c r="AE87" i="1"/>
  <c r="C88" i="1"/>
  <c r="AA88" i="1"/>
  <c r="AE88" i="1"/>
  <c r="C89" i="1"/>
  <c r="AA89" i="1"/>
  <c r="AE89" i="1"/>
  <c r="C90" i="1"/>
  <c r="AA90" i="1"/>
  <c r="AE90" i="1"/>
  <c r="C91" i="1"/>
  <c r="AA91" i="1"/>
  <c r="AE91" i="1"/>
  <c r="C92" i="1"/>
  <c r="AA92" i="1"/>
  <c r="AE92" i="1"/>
  <c r="C93" i="1"/>
  <c r="AA93" i="1"/>
  <c r="AE93" i="1"/>
  <c r="C94" i="1"/>
  <c r="AA94" i="1"/>
  <c r="AE94" i="1"/>
  <c r="C95" i="1"/>
  <c r="AA95" i="1"/>
  <c r="AE95" i="1"/>
  <c r="AG21" i="1"/>
  <c r="AC21" i="1"/>
  <c r="AE25" i="1"/>
  <c r="AE26" i="1"/>
  <c r="AE27" i="1"/>
  <c r="AE28" i="1"/>
  <c r="AE29" i="1"/>
  <c r="AE30" i="1"/>
  <c r="AE31" i="1"/>
  <c r="AE32" i="1"/>
  <c r="AE33" i="1"/>
  <c r="AE34" i="1"/>
  <c r="AE35" i="1"/>
  <c r="AE36" i="1"/>
  <c r="AE37" i="1"/>
  <c r="AE38" i="1"/>
  <c r="AE39" i="1"/>
  <c r="AE40" i="1"/>
  <c r="AE41" i="1"/>
  <c r="AE42" i="1"/>
  <c r="AE44" i="1"/>
  <c r="AE45" i="1"/>
  <c r="AE46" i="1"/>
  <c r="AE47" i="1"/>
  <c r="AE48" i="1"/>
  <c r="AE49" i="1"/>
  <c r="AE50" i="1"/>
  <c r="AE51" i="1"/>
  <c r="AE52" i="1"/>
  <c r="AE53" i="1"/>
  <c r="AE54" i="1"/>
  <c r="AE55" i="1"/>
  <c r="AE56" i="1"/>
  <c r="AE57" i="1"/>
  <c r="AE58" i="1"/>
  <c r="AE59" i="1"/>
  <c r="AE60" i="1"/>
  <c r="AE61" i="1"/>
  <c r="AE62" i="1"/>
  <c r="AE63" i="1"/>
  <c r="AE64" i="1"/>
  <c r="AE65" i="1"/>
  <c r="AE66" i="1"/>
  <c r="AE67" i="1"/>
  <c r="AE68" i="1"/>
  <c r="AE69" i="1"/>
  <c r="AE70" i="1"/>
  <c r="AE71" i="1"/>
  <c r="AE72" i="1"/>
  <c r="AE73" i="1"/>
  <c r="AE74" i="1"/>
  <c r="AE75" i="1"/>
  <c r="AE76" i="1"/>
  <c r="AE77" i="1"/>
  <c r="AE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4" i="1"/>
  <c r="AA45" i="1"/>
  <c r="AA46" i="1"/>
  <c r="AA47" i="1"/>
  <c r="AA48" i="1"/>
  <c r="AA49" i="1"/>
  <c r="AA50" i="1"/>
  <c r="AA51" i="1"/>
  <c r="AA52" i="1"/>
  <c r="AA53" i="1"/>
  <c r="AA54" i="1"/>
  <c r="AA55" i="1"/>
  <c r="AA56" i="1"/>
  <c r="AA57" i="1"/>
  <c r="AA58" i="1"/>
  <c r="AA59" i="1"/>
  <c r="AA60" i="1"/>
  <c r="AA61" i="1"/>
  <c r="AA62" i="1"/>
  <c r="AA63" i="1"/>
  <c r="AA64" i="1"/>
  <c r="AA65" i="1"/>
  <c r="AA66" i="1"/>
  <c r="AA67" i="1"/>
  <c r="AA68" i="1"/>
  <c r="AA69" i="1"/>
  <c r="AA70" i="1"/>
  <c r="AA71" i="1"/>
  <c r="AA72" i="1"/>
  <c r="AA73" i="1"/>
  <c r="AA74" i="1"/>
  <c r="AA75" i="1"/>
  <c r="AA76" i="1"/>
  <c r="AA77" i="1"/>
  <c r="AA24" i="1"/>
  <c r="AG22" i="1"/>
  <c r="AC22" i="1"/>
  <c r="M26" i="1"/>
  <c r="N26" i="1" s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J38" i="1"/>
  <c r="J39" i="1"/>
  <c r="J40" i="1"/>
  <c r="J41" i="1"/>
  <c r="J42" i="1"/>
  <c r="Y85" i="4" l="1"/>
  <c r="U29" i="5"/>
  <c r="S29" i="5"/>
  <c r="Y81" i="5"/>
  <c r="X82" i="5"/>
  <c r="R30" i="5"/>
  <c r="T30" i="5" s="1"/>
  <c r="AB30" i="5"/>
  <c r="AC30" i="5" s="1"/>
  <c r="AD30" i="5" s="1"/>
  <c r="N31" i="5"/>
  <c r="AF30" i="5"/>
  <c r="AG30" i="5" s="1"/>
  <c r="AH30" i="5" s="1"/>
  <c r="O30" i="5"/>
  <c r="P30" i="5" s="1"/>
  <c r="U28" i="4"/>
  <c r="S28" i="4"/>
  <c r="X87" i="4"/>
  <c r="Y86" i="4"/>
  <c r="R29" i="4"/>
  <c r="T29" i="4" s="1"/>
  <c r="AF29" i="4"/>
  <c r="AG29" i="4" s="1"/>
  <c r="AH29" i="4" s="1"/>
  <c r="N30" i="4"/>
  <c r="AB29" i="4"/>
  <c r="AC29" i="4" s="1"/>
  <c r="AD29" i="4" s="1"/>
  <c r="O29" i="4"/>
  <c r="P29" i="4" s="1"/>
  <c r="Y82" i="1"/>
  <c r="Y81" i="1"/>
  <c r="X84" i="1"/>
  <c r="X85" i="1" s="1"/>
  <c r="X86" i="1" s="1"/>
  <c r="Y86" i="1" s="1"/>
  <c r="Y83" i="1"/>
  <c r="Y77" i="1"/>
  <c r="Y78" i="1"/>
  <c r="Y79" i="1"/>
  <c r="Y80" i="1"/>
  <c r="X87" i="1"/>
  <c r="X88" i="1" s="1"/>
  <c r="Q96" i="1"/>
  <c r="O26" i="1"/>
  <c r="Q108" i="1"/>
  <c r="Q105" i="1"/>
  <c r="Q112" i="1"/>
  <c r="Q109" i="1"/>
  <c r="Q100" i="1"/>
  <c r="Q116" i="1"/>
  <c r="Q113" i="1"/>
  <c r="Q117" i="1"/>
  <c r="Q104" i="1"/>
  <c r="Q101" i="1"/>
  <c r="Q97" i="1"/>
  <c r="Q118" i="1"/>
  <c r="Q114" i="1"/>
  <c r="Q110" i="1"/>
  <c r="Q106" i="1"/>
  <c r="Q102" i="1"/>
  <c r="Q98" i="1"/>
  <c r="Q115" i="1"/>
  <c r="Q111" i="1"/>
  <c r="Q107" i="1"/>
  <c r="Q103" i="1"/>
  <c r="Q99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25" i="1"/>
  <c r="T22" i="1"/>
  <c r="N27" i="1"/>
  <c r="N28" i="1" s="1"/>
  <c r="N29" i="1" s="1"/>
  <c r="N30" i="1" s="1"/>
  <c r="N31" i="1" s="1"/>
  <c r="N32" i="1" s="1"/>
  <c r="N33" i="1" s="1"/>
  <c r="N34" i="1" s="1"/>
  <c r="N35" i="1" s="1"/>
  <c r="N36" i="1" s="1"/>
  <c r="N37" i="1" s="1"/>
  <c r="N38" i="1" s="1"/>
  <c r="N39" i="1" s="1"/>
  <c r="N40" i="1" s="1"/>
  <c r="N41" i="1" s="1"/>
  <c r="E46" i="1"/>
  <c r="E47" i="1" s="1"/>
  <c r="B46" i="1"/>
  <c r="E49" i="1"/>
  <c r="B49" i="1"/>
  <c r="C50" i="1"/>
  <c r="C48" i="1"/>
  <c r="C45" i="1"/>
  <c r="C44" i="1"/>
  <c r="C42" i="1"/>
  <c r="C41" i="1"/>
  <c r="C40" i="1"/>
  <c r="C39" i="1"/>
  <c r="C38" i="1"/>
  <c r="J37" i="1"/>
  <c r="C37" i="1"/>
  <c r="J36" i="1"/>
  <c r="C36" i="1"/>
  <c r="J35" i="1"/>
  <c r="C35" i="1"/>
  <c r="J34" i="1"/>
  <c r="C34" i="1"/>
  <c r="J33" i="1"/>
  <c r="C33" i="1"/>
  <c r="J32" i="1"/>
  <c r="C32" i="1"/>
  <c r="J31" i="1"/>
  <c r="C31" i="1"/>
  <c r="J30" i="1"/>
  <c r="C30" i="1"/>
  <c r="J29" i="1"/>
  <c r="C29" i="1"/>
  <c r="J28" i="1"/>
  <c r="C28" i="1"/>
  <c r="J27" i="1"/>
  <c r="C27" i="1"/>
  <c r="J26" i="1"/>
  <c r="C26" i="1"/>
  <c r="M25" i="1"/>
  <c r="J25" i="1"/>
  <c r="C25" i="1"/>
  <c r="C24" i="1"/>
  <c r="C23" i="1"/>
  <c r="C22" i="1"/>
  <c r="T21" i="1"/>
  <c r="K14" i="1"/>
  <c r="D14" i="1"/>
  <c r="D15" i="1" s="1"/>
  <c r="D16" i="1" s="1"/>
  <c r="D17" i="1" s="1"/>
  <c r="K4" i="1"/>
  <c r="D3" i="1" s="1"/>
  <c r="R31" i="5" l="1"/>
  <c r="T31" i="5" s="1"/>
  <c r="O31" i="5"/>
  <c r="P31" i="5" s="1"/>
  <c r="N32" i="5"/>
  <c r="AB31" i="5"/>
  <c r="AC31" i="5" s="1"/>
  <c r="AD31" i="5" s="1"/>
  <c r="AF31" i="5"/>
  <c r="AG31" i="5" s="1"/>
  <c r="AH31" i="5" s="1"/>
  <c r="U30" i="5"/>
  <c r="S30" i="5"/>
  <c r="X83" i="5"/>
  <c r="Y82" i="5"/>
  <c r="AF30" i="4"/>
  <c r="AG30" i="4" s="1"/>
  <c r="AH30" i="4" s="1"/>
  <c r="O30" i="4"/>
  <c r="P30" i="4" s="1"/>
  <c r="N31" i="4"/>
  <c r="AB30" i="4"/>
  <c r="AC30" i="4" s="1"/>
  <c r="AD30" i="4" s="1"/>
  <c r="R30" i="4"/>
  <c r="T30" i="4" s="1"/>
  <c r="S29" i="4"/>
  <c r="U29" i="4"/>
  <c r="X88" i="4"/>
  <c r="Y87" i="4"/>
  <c r="Y85" i="1"/>
  <c r="Y84" i="1"/>
  <c r="Y87" i="1"/>
  <c r="N42" i="1"/>
  <c r="N43" i="1" s="1"/>
  <c r="N44" i="1" s="1"/>
  <c r="N45" i="1" s="1"/>
  <c r="N46" i="1" s="1"/>
  <c r="N47" i="1" s="1"/>
  <c r="O41" i="1"/>
  <c r="O43" i="1"/>
  <c r="P43" i="1" s="1"/>
  <c r="X89" i="1"/>
  <c r="Y88" i="1"/>
  <c r="C49" i="1"/>
  <c r="O28" i="1"/>
  <c r="O29" i="1"/>
  <c r="O27" i="1"/>
  <c r="G45" i="1"/>
  <c r="B47" i="1"/>
  <c r="H45" i="1"/>
  <c r="AF25" i="1"/>
  <c r="AG25" i="1" s="1"/>
  <c r="AH25" i="1" s="1"/>
  <c r="AB25" i="1"/>
  <c r="C46" i="1"/>
  <c r="C47" i="1" s="1"/>
  <c r="R25" i="1"/>
  <c r="K5" i="1"/>
  <c r="X84" i="5" l="1"/>
  <c r="Y83" i="5"/>
  <c r="N33" i="5"/>
  <c r="AF32" i="5"/>
  <c r="AG32" i="5" s="1"/>
  <c r="AH32" i="5" s="1"/>
  <c r="R32" i="5"/>
  <c r="T32" i="5" s="1"/>
  <c r="O32" i="5"/>
  <c r="P32" i="5" s="1"/>
  <c r="AB32" i="5"/>
  <c r="AC32" i="5" s="1"/>
  <c r="AD32" i="5" s="1"/>
  <c r="U31" i="5"/>
  <c r="S31" i="5"/>
  <c r="X89" i="4"/>
  <c r="Y88" i="4"/>
  <c r="U30" i="4"/>
  <c r="S30" i="4"/>
  <c r="N32" i="4"/>
  <c r="AF31" i="4"/>
  <c r="AG31" i="4" s="1"/>
  <c r="AH31" i="4" s="1"/>
  <c r="AB31" i="4"/>
  <c r="AC31" i="4" s="1"/>
  <c r="AD31" i="4" s="1"/>
  <c r="R31" i="4"/>
  <c r="T31" i="4" s="1"/>
  <c r="O31" i="4"/>
  <c r="P31" i="4" s="1"/>
  <c r="O46" i="1"/>
  <c r="P46" i="1" s="1"/>
  <c r="O44" i="1"/>
  <c r="P44" i="1" s="1"/>
  <c r="O45" i="1"/>
  <c r="P45" i="1" s="1"/>
  <c r="O47" i="1"/>
  <c r="P47" i="1" s="1"/>
  <c r="N48" i="1"/>
  <c r="X90" i="1"/>
  <c r="Y89" i="1"/>
  <c r="AC25" i="1"/>
  <c r="AD25" i="1" s="1"/>
  <c r="O25" i="1"/>
  <c r="P25" i="1" s="1"/>
  <c r="O24" i="1"/>
  <c r="F17" i="1"/>
  <c r="T25" i="1"/>
  <c r="Q24" i="1"/>
  <c r="AF26" i="1"/>
  <c r="AG26" i="1" s="1"/>
  <c r="AH26" i="1" s="1"/>
  <c r="AB26" i="1"/>
  <c r="P26" i="1"/>
  <c r="K7" i="1"/>
  <c r="M22" i="1" s="1"/>
  <c r="K6" i="1"/>
  <c r="M6" i="1" s="1"/>
  <c r="O6" i="1" s="1"/>
  <c r="M5" i="1"/>
  <c r="R26" i="1"/>
  <c r="D5" i="1" l="1"/>
  <c r="D8" i="1" s="1"/>
  <c r="S32" i="5"/>
  <c r="U32" i="5"/>
  <c r="AF33" i="5"/>
  <c r="AG33" i="5" s="1"/>
  <c r="AH33" i="5" s="1"/>
  <c r="AB33" i="5"/>
  <c r="AC33" i="5" s="1"/>
  <c r="AD33" i="5" s="1"/>
  <c r="R33" i="5"/>
  <c r="T33" i="5" s="1"/>
  <c r="N34" i="5"/>
  <c r="O33" i="5"/>
  <c r="P33" i="5" s="1"/>
  <c r="X85" i="5"/>
  <c r="Y84" i="5"/>
  <c r="U31" i="4"/>
  <c r="S31" i="4"/>
  <c r="AF32" i="4"/>
  <c r="AG32" i="4" s="1"/>
  <c r="AH32" i="4" s="1"/>
  <c r="R32" i="4"/>
  <c r="T32" i="4" s="1"/>
  <c r="N33" i="4"/>
  <c r="AB32" i="4"/>
  <c r="AC32" i="4" s="1"/>
  <c r="AD32" i="4" s="1"/>
  <c r="O32" i="4"/>
  <c r="P32" i="4" s="1"/>
  <c r="X90" i="4"/>
  <c r="Y89" i="4"/>
  <c r="N49" i="1"/>
  <c r="O48" i="1"/>
  <c r="P48" i="1" s="1"/>
  <c r="X91" i="1"/>
  <c r="Y90" i="1"/>
  <c r="U25" i="1"/>
  <c r="S25" i="1"/>
  <c r="AC26" i="1"/>
  <c r="AD26" i="1" s="1"/>
  <c r="T26" i="1"/>
  <c r="AF27" i="1"/>
  <c r="AG27" i="1" s="1"/>
  <c r="AH27" i="1" s="1"/>
  <c r="AB27" i="1"/>
  <c r="R27" i="1"/>
  <c r="T27" i="1" s="1"/>
  <c r="P27" i="1"/>
  <c r="L14" i="1" l="1"/>
  <c r="F10" i="1"/>
  <c r="F11" i="1" s="1"/>
  <c r="M14" i="1" s="1"/>
  <c r="F8" i="1"/>
  <c r="X86" i="5"/>
  <c r="Y85" i="5"/>
  <c r="N35" i="5"/>
  <c r="R34" i="5"/>
  <c r="T34" i="5" s="1"/>
  <c r="AF34" i="5"/>
  <c r="AG34" i="5" s="1"/>
  <c r="AH34" i="5" s="1"/>
  <c r="O34" i="5"/>
  <c r="P34" i="5" s="1"/>
  <c r="AB34" i="5"/>
  <c r="AC34" i="5" s="1"/>
  <c r="AD34" i="5" s="1"/>
  <c r="U33" i="5"/>
  <c r="S33" i="5"/>
  <c r="X91" i="4"/>
  <c r="Y90" i="4"/>
  <c r="AB33" i="4"/>
  <c r="AC33" i="4" s="1"/>
  <c r="AD33" i="4" s="1"/>
  <c r="AF33" i="4"/>
  <c r="AG33" i="4" s="1"/>
  <c r="AH33" i="4" s="1"/>
  <c r="R33" i="4"/>
  <c r="T33" i="4" s="1"/>
  <c r="N34" i="4"/>
  <c r="O33" i="4"/>
  <c r="P33" i="4" s="1"/>
  <c r="S32" i="4"/>
  <c r="U32" i="4"/>
  <c r="O49" i="1"/>
  <c r="P49" i="1" s="1"/>
  <c r="N50" i="1"/>
  <c r="X92" i="1"/>
  <c r="Y91" i="1"/>
  <c r="U26" i="1"/>
  <c r="S26" i="1"/>
  <c r="U27" i="1"/>
  <c r="S27" i="1"/>
  <c r="AC27" i="1"/>
  <c r="AD27" i="1" s="1"/>
  <c r="AF28" i="1"/>
  <c r="AG28" i="1" s="1"/>
  <c r="AH28" i="1" s="1"/>
  <c r="AB28" i="1"/>
  <c r="R28" i="1"/>
  <c r="T28" i="1" s="1"/>
  <c r="P28" i="1"/>
  <c r="U34" i="5" l="1"/>
  <c r="S34" i="5"/>
  <c r="AB35" i="5"/>
  <c r="AC35" i="5" s="1"/>
  <c r="AD35" i="5" s="1"/>
  <c r="R35" i="5"/>
  <c r="T35" i="5" s="1"/>
  <c r="N36" i="5"/>
  <c r="AF35" i="5"/>
  <c r="AG35" i="5" s="1"/>
  <c r="AH35" i="5" s="1"/>
  <c r="O35" i="5"/>
  <c r="P35" i="5" s="1"/>
  <c r="X87" i="5"/>
  <c r="Y86" i="5"/>
  <c r="N35" i="4"/>
  <c r="AF34" i="4"/>
  <c r="AG34" i="4" s="1"/>
  <c r="AH34" i="4" s="1"/>
  <c r="R34" i="4"/>
  <c r="T34" i="4" s="1"/>
  <c r="AB34" i="4"/>
  <c r="AC34" i="4" s="1"/>
  <c r="AD34" i="4" s="1"/>
  <c r="O34" i="4"/>
  <c r="P34" i="4" s="1"/>
  <c r="U33" i="4"/>
  <c r="S33" i="4"/>
  <c r="X92" i="4"/>
  <c r="Y91" i="4"/>
  <c r="O50" i="1"/>
  <c r="P50" i="1" s="1"/>
  <c r="N51" i="1"/>
  <c r="X93" i="1"/>
  <c r="Y92" i="1"/>
  <c r="U28" i="1"/>
  <c r="S28" i="1"/>
  <c r="AC28" i="1"/>
  <c r="AD28" i="1" s="1"/>
  <c r="AF29" i="1"/>
  <c r="AG29" i="1" s="1"/>
  <c r="AH29" i="1" s="1"/>
  <c r="AB29" i="1"/>
  <c r="R29" i="1"/>
  <c r="T29" i="1" s="1"/>
  <c r="P29" i="1"/>
  <c r="X88" i="5" l="1"/>
  <c r="Y87" i="5"/>
  <c r="AB36" i="5"/>
  <c r="AC36" i="5" s="1"/>
  <c r="AD36" i="5" s="1"/>
  <c r="AF36" i="5"/>
  <c r="AG36" i="5" s="1"/>
  <c r="AH36" i="5" s="1"/>
  <c r="N37" i="5"/>
  <c r="R36" i="5"/>
  <c r="T36" i="5" s="1"/>
  <c r="O36" i="5"/>
  <c r="P36" i="5" s="1"/>
  <c r="U35" i="5"/>
  <c r="S35" i="5"/>
  <c r="X93" i="4"/>
  <c r="Y92" i="4"/>
  <c r="U34" i="4"/>
  <c r="S34" i="4"/>
  <c r="AB35" i="4"/>
  <c r="AC35" i="4" s="1"/>
  <c r="AD35" i="4" s="1"/>
  <c r="N36" i="4"/>
  <c r="R35" i="4"/>
  <c r="T35" i="4" s="1"/>
  <c r="AF35" i="4"/>
  <c r="AG35" i="4" s="1"/>
  <c r="AH35" i="4" s="1"/>
  <c r="O35" i="4"/>
  <c r="P35" i="4" s="1"/>
  <c r="O51" i="1"/>
  <c r="P51" i="1" s="1"/>
  <c r="N52" i="1"/>
  <c r="X94" i="1"/>
  <c r="Y93" i="1"/>
  <c r="U29" i="1"/>
  <c r="S29" i="1"/>
  <c r="AC29" i="1"/>
  <c r="AD29" i="1" s="1"/>
  <c r="AF30" i="1"/>
  <c r="AG30" i="1" s="1"/>
  <c r="AH30" i="1" s="1"/>
  <c r="AB30" i="1"/>
  <c r="R30" i="1"/>
  <c r="T30" i="1" s="1"/>
  <c r="O30" i="1"/>
  <c r="P30" i="1" s="1"/>
  <c r="S36" i="5" l="1"/>
  <c r="U36" i="5"/>
  <c r="R37" i="5"/>
  <c r="T37" i="5" s="1"/>
  <c r="AB37" i="5"/>
  <c r="AC37" i="5" s="1"/>
  <c r="AD37" i="5" s="1"/>
  <c r="AF37" i="5"/>
  <c r="AG37" i="5" s="1"/>
  <c r="AH37" i="5" s="1"/>
  <c r="O37" i="5"/>
  <c r="P37" i="5" s="1"/>
  <c r="N38" i="5"/>
  <c r="X89" i="5"/>
  <c r="Y88" i="5"/>
  <c r="U35" i="4"/>
  <c r="S35" i="4"/>
  <c r="AB36" i="4"/>
  <c r="AC36" i="4" s="1"/>
  <c r="AD36" i="4" s="1"/>
  <c r="R36" i="4"/>
  <c r="T36" i="4" s="1"/>
  <c r="AF36" i="4"/>
  <c r="AG36" i="4" s="1"/>
  <c r="AH36" i="4" s="1"/>
  <c r="N37" i="4"/>
  <c r="O36" i="4"/>
  <c r="P36" i="4" s="1"/>
  <c r="X94" i="4"/>
  <c r="Y93" i="4"/>
  <c r="O52" i="1"/>
  <c r="P52" i="1" s="1"/>
  <c r="N53" i="1"/>
  <c r="X95" i="1"/>
  <c r="Y94" i="1"/>
  <c r="U30" i="1"/>
  <c r="S30" i="1"/>
  <c r="AC30" i="1"/>
  <c r="AD30" i="1" s="1"/>
  <c r="AF31" i="1"/>
  <c r="AG31" i="1" s="1"/>
  <c r="AH31" i="1" s="1"/>
  <c r="AB31" i="1"/>
  <c r="R31" i="1"/>
  <c r="T31" i="1" s="1"/>
  <c r="O31" i="1"/>
  <c r="P31" i="1" s="1"/>
  <c r="AF38" i="5" l="1"/>
  <c r="AG38" i="5" s="1"/>
  <c r="AH38" i="5" s="1"/>
  <c r="R38" i="5"/>
  <c r="T38" i="5" s="1"/>
  <c r="N39" i="5"/>
  <c r="AB38" i="5"/>
  <c r="AC38" i="5" s="1"/>
  <c r="AD38" i="5" s="1"/>
  <c r="O38" i="5"/>
  <c r="P38" i="5" s="1"/>
  <c r="X90" i="5"/>
  <c r="Y89" i="5"/>
  <c r="S37" i="5"/>
  <c r="U37" i="5"/>
  <c r="X95" i="4"/>
  <c r="Y94" i="4"/>
  <c r="R37" i="4"/>
  <c r="T37" i="4" s="1"/>
  <c r="O37" i="4"/>
  <c r="P37" i="4" s="1"/>
  <c r="N38" i="4"/>
  <c r="AB37" i="4"/>
  <c r="AC37" i="4" s="1"/>
  <c r="AD37" i="4" s="1"/>
  <c r="AF37" i="4"/>
  <c r="AG37" i="4" s="1"/>
  <c r="AH37" i="4" s="1"/>
  <c r="U36" i="4"/>
  <c r="S36" i="4"/>
  <c r="O53" i="1"/>
  <c r="P53" i="1" s="1"/>
  <c r="N54" i="1"/>
  <c r="X96" i="1"/>
  <c r="Y95" i="1"/>
  <c r="U31" i="1"/>
  <c r="S31" i="1"/>
  <c r="AC31" i="1"/>
  <c r="AD31" i="1" s="1"/>
  <c r="AF32" i="1"/>
  <c r="AG32" i="1" s="1"/>
  <c r="AH32" i="1" s="1"/>
  <c r="AB32" i="1"/>
  <c r="R32" i="1"/>
  <c r="T32" i="1" s="1"/>
  <c r="O32" i="1"/>
  <c r="P32" i="1" s="1"/>
  <c r="X91" i="5" l="1"/>
  <c r="Y90" i="5"/>
  <c r="R39" i="5"/>
  <c r="T39" i="5" s="1"/>
  <c r="AB39" i="5"/>
  <c r="AC39" i="5" s="1"/>
  <c r="AD39" i="5" s="1"/>
  <c r="N40" i="5"/>
  <c r="AF39" i="5"/>
  <c r="AG39" i="5" s="1"/>
  <c r="AH39" i="5" s="1"/>
  <c r="O39" i="5"/>
  <c r="P39" i="5" s="1"/>
  <c r="S38" i="5"/>
  <c r="U38" i="5"/>
  <c r="N39" i="4"/>
  <c r="AF38" i="4"/>
  <c r="AG38" i="4" s="1"/>
  <c r="AH38" i="4" s="1"/>
  <c r="O38" i="4"/>
  <c r="P38" i="4" s="1"/>
  <c r="AB38" i="4"/>
  <c r="AC38" i="4" s="1"/>
  <c r="AD38" i="4" s="1"/>
  <c r="R38" i="4"/>
  <c r="T38" i="4" s="1"/>
  <c r="U37" i="4"/>
  <c r="S37" i="4"/>
  <c r="X96" i="4"/>
  <c r="Y95" i="4"/>
  <c r="O54" i="1"/>
  <c r="P54" i="1" s="1"/>
  <c r="N55" i="1"/>
  <c r="X97" i="1"/>
  <c r="Y96" i="1"/>
  <c r="U32" i="1"/>
  <c r="S32" i="1"/>
  <c r="AC32" i="1"/>
  <c r="AD32" i="1" s="1"/>
  <c r="AF33" i="1"/>
  <c r="AG33" i="1" s="1"/>
  <c r="AH33" i="1" s="1"/>
  <c r="AB33" i="1"/>
  <c r="R33" i="1"/>
  <c r="T33" i="1" s="1"/>
  <c r="O33" i="1"/>
  <c r="P33" i="1" s="1"/>
  <c r="AF40" i="5" l="1"/>
  <c r="AG40" i="5" s="1"/>
  <c r="AH40" i="5" s="1"/>
  <c r="N41" i="5"/>
  <c r="O40" i="5"/>
  <c r="P40" i="5" s="1"/>
  <c r="AB40" i="5"/>
  <c r="AC40" i="5" s="1"/>
  <c r="AD40" i="5" s="1"/>
  <c r="R40" i="5"/>
  <c r="T40" i="5" s="1"/>
  <c r="S39" i="5"/>
  <c r="U39" i="5"/>
  <c r="X92" i="5"/>
  <c r="Y91" i="5"/>
  <c r="X97" i="4"/>
  <c r="Y96" i="4"/>
  <c r="S38" i="4"/>
  <c r="U38" i="4"/>
  <c r="AB39" i="4"/>
  <c r="AC39" i="4" s="1"/>
  <c r="AD39" i="4" s="1"/>
  <c r="R39" i="4"/>
  <c r="T39" i="4" s="1"/>
  <c r="AF39" i="4"/>
  <c r="AG39" i="4" s="1"/>
  <c r="AH39" i="4" s="1"/>
  <c r="N40" i="4"/>
  <c r="O39" i="4"/>
  <c r="P39" i="4" s="1"/>
  <c r="N56" i="1"/>
  <c r="O55" i="1"/>
  <c r="P55" i="1" s="1"/>
  <c r="X98" i="1"/>
  <c r="Y97" i="1"/>
  <c r="U33" i="1"/>
  <c r="S33" i="1"/>
  <c r="AC33" i="1"/>
  <c r="AD33" i="1" s="1"/>
  <c r="AF34" i="1"/>
  <c r="AG34" i="1" s="1"/>
  <c r="AH34" i="1" s="1"/>
  <c r="AB34" i="1"/>
  <c r="R34" i="1"/>
  <c r="T34" i="1" s="1"/>
  <c r="O34" i="1"/>
  <c r="P34" i="1" s="1"/>
  <c r="X93" i="5" l="1"/>
  <c r="Y92" i="5"/>
  <c r="S40" i="5"/>
  <c r="U40" i="5"/>
  <c r="N42" i="5"/>
  <c r="AB41" i="5"/>
  <c r="AC41" i="5" s="1"/>
  <c r="AD41" i="5" s="1"/>
  <c r="O41" i="5"/>
  <c r="P41" i="5" s="1"/>
  <c r="AF41" i="5"/>
  <c r="AG41" i="5" s="1"/>
  <c r="AH41" i="5" s="1"/>
  <c r="R41" i="5"/>
  <c r="T41" i="5" s="1"/>
  <c r="N41" i="4"/>
  <c r="AF40" i="4"/>
  <c r="AG40" i="4" s="1"/>
  <c r="AH40" i="4" s="1"/>
  <c r="R40" i="4"/>
  <c r="T40" i="4" s="1"/>
  <c r="AB40" i="4"/>
  <c r="AC40" i="4" s="1"/>
  <c r="AD40" i="4" s="1"/>
  <c r="O40" i="4"/>
  <c r="P40" i="4" s="1"/>
  <c r="S39" i="4"/>
  <c r="U39" i="4"/>
  <c r="X98" i="4"/>
  <c r="Y97" i="4"/>
  <c r="O56" i="1"/>
  <c r="P56" i="1" s="1"/>
  <c r="N57" i="1"/>
  <c r="X99" i="1"/>
  <c r="Y98" i="1"/>
  <c r="U34" i="1"/>
  <c r="S34" i="1"/>
  <c r="AC34" i="1"/>
  <c r="AD34" i="1" s="1"/>
  <c r="AF35" i="1"/>
  <c r="AG35" i="1" s="1"/>
  <c r="AH35" i="1" s="1"/>
  <c r="AB35" i="1"/>
  <c r="R35" i="1"/>
  <c r="T35" i="1" s="1"/>
  <c r="O35" i="1"/>
  <c r="P35" i="1" s="1"/>
  <c r="U41" i="5" l="1"/>
  <c r="S41" i="5"/>
  <c r="N43" i="5"/>
  <c r="R42" i="5"/>
  <c r="T42" i="5" s="1"/>
  <c r="AF42" i="5"/>
  <c r="AG42" i="5" s="1"/>
  <c r="AH42" i="5" s="1"/>
  <c r="AB42" i="5"/>
  <c r="AC42" i="5" s="1"/>
  <c r="AD42" i="5" s="1"/>
  <c r="O42" i="5"/>
  <c r="P42" i="5" s="1"/>
  <c r="X94" i="5"/>
  <c r="Y93" i="5"/>
  <c r="X99" i="4"/>
  <c r="Y98" i="4"/>
  <c r="S40" i="4"/>
  <c r="U40" i="4"/>
  <c r="AF41" i="4"/>
  <c r="AG41" i="4" s="1"/>
  <c r="AH41" i="4" s="1"/>
  <c r="R41" i="4"/>
  <c r="T41" i="4" s="1"/>
  <c r="AB41" i="4"/>
  <c r="AC41" i="4" s="1"/>
  <c r="AD41" i="4" s="1"/>
  <c r="N42" i="4"/>
  <c r="O41" i="4"/>
  <c r="P41" i="4" s="1"/>
  <c r="O57" i="1"/>
  <c r="P57" i="1" s="1"/>
  <c r="N58" i="1"/>
  <c r="X100" i="1"/>
  <c r="Y99" i="1"/>
  <c r="U35" i="1"/>
  <c r="S35" i="1"/>
  <c r="AC35" i="1"/>
  <c r="AD35" i="1" s="1"/>
  <c r="AF36" i="1"/>
  <c r="AG36" i="1" s="1"/>
  <c r="AH36" i="1" s="1"/>
  <c r="AB36" i="1"/>
  <c r="R36" i="1"/>
  <c r="T36" i="1" s="1"/>
  <c r="O36" i="1"/>
  <c r="P36" i="1" s="1"/>
  <c r="X95" i="5" l="1"/>
  <c r="Y94" i="5"/>
  <c r="U42" i="5"/>
  <c r="S42" i="5"/>
  <c r="N44" i="5"/>
  <c r="O43" i="5"/>
  <c r="P43" i="5" s="1"/>
  <c r="N43" i="4"/>
  <c r="R42" i="4"/>
  <c r="T42" i="4" s="1"/>
  <c r="AF42" i="4"/>
  <c r="AG42" i="4" s="1"/>
  <c r="AH42" i="4" s="1"/>
  <c r="AB42" i="4"/>
  <c r="AC42" i="4" s="1"/>
  <c r="AD42" i="4" s="1"/>
  <c r="O42" i="4"/>
  <c r="P42" i="4" s="1"/>
  <c r="U41" i="4"/>
  <c r="S41" i="4"/>
  <c r="X100" i="4"/>
  <c r="Y99" i="4"/>
  <c r="N59" i="1"/>
  <c r="O58" i="1"/>
  <c r="P58" i="1" s="1"/>
  <c r="X101" i="1"/>
  <c r="Y100" i="1"/>
  <c r="U36" i="1"/>
  <c r="S36" i="1"/>
  <c r="AC36" i="1"/>
  <c r="AD36" i="1" s="1"/>
  <c r="AF37" i="1"/>
  <c r="AG37" i="1" s="1"/>
  <c r="AH37" i="1" s="1"/>
  <c r="AB37" i="1"/>
  <c r="R37" i="1"/>
  <c r="T37" i="1" s="1"/>
  <c r="O37" i="1"/>
  <c r="P37" i="1" s="1"/>
  <c r="AF44" i="5" l="1"/>
  <c r="AG44" i="5" s="1"/>
  <c r="AH44" i="5" s="1"/>
  <c r="N45" i="5"/>
  <c r="AB44" i="5"/>
  <c r="AC44" i="5" s="1"/>
  <c r="AD44" i="5" s="1"/>
  <c r="R44" i="5"/>
  <c r="T44" i="5" s="1"/>
  <c r="O44" i="5"/>
  <c r="P44" i="5" s="1"/>
  <c r="X96" i="5"/>
  <c r="Y95" i="5"/>
  <c r="X101" i="4"/>
  <c r="Y100" i="4"/>
  <c r="S42" i="4"/>
  <c r="U42" i="4"/>
  <c r="N44" i="4"/>
  <c r="O43" i="4"/>
  <c r="P43" i="4" s="1"/>
  <c r="O59" i="1"/>
  <c r="P59" i="1" s="1"/>
  <c r="N60" i="1"/>
  <c r="X102" i="1"/>
  <c r="Y101" i="1"/>
  <c r="U37" i="1"/>
  <c r="S37" i="1"/>
  <c r="AC37" i="1"/>
  <c r="AD37" i="1" s="1"/>
  <c r="AF38" i="1"/>
  <c r="AG38" i="1" s="1"/>
  <c r="AH38" i="1" s="1"/>
  <c r="AB38" i="1"/>
  <c r="R38" i="1"/>
  <c r="T38" i="1" s="1"/>
  <c r="O38" i="1"/>
  <c r="P38" i="1" s="1"/>
  <c r="X97" i="5" l="1"/>
  <c r="Y96" i="5"/>
  <c r="U44" i="5"/>
  <c r="S44" i="5"/>
  <c r="N46" i="5"/>
  <c r="R45" i="5"/>
  <c r="T45" i="5" s="1"/>
  <c r="AF45" i="5"/>
  <c r="AG45" i="5" s="1"/>
  <c r="AH45" i="5" s="1"/>
  <c r="AB45" i="5"/>
  <c r="AC45" i="5" s="1"/>
  <c r="AD45" i="5" s="1"/>
  <c r="O45" i="5"/>
  <c r="P45" i="5" s="1"/>
  <c r="AF44" i="4"/>
  <c r="AG44" i="4" s="1"/>
  <c r="AH44" i="4" s="1"/>
  <c r="AB44" i="4"/>
  <c r="AC44" i="4" s="1"/>
  <c r="AD44" i="4" s="1"/>
  <c r="R44" i="4"/>
  <c r="T44" i="4" s="1"/>
  <c r="O44" i="4"/>
  <c r="P44" i="4" s="1"/>
  <c r="N45" i="4"/>
  <c r="X102" i="4"/>
  <c r="Y101" i="4"/>
  <c r="O60" i="1"/>
  <c r="P60" i="1" s="1"/>
  <c r="N61" i="1"/>
  <c r="X103" i="1"/>
  <c r="Y102" i="1"/>
  <c r="U38" i="1"/>
  <c r="S38" i="1"/>
  <c r="AC38" i="1"/>
  <c r="AD38" i="1" s="1"/>
  <c r="AF39" i="1"/>
  <c r="AG39" i="1" s="1"/>
  <c r="AH39" i="1" s="1"/>
  <c r="AB39" i="1"/>
  <c r="R39" i="1"/>
  <c r="T39" i="1" s="1"/>
  <c r="O39" i="1"/>
  <c r="P39" i="1" s="1"/>
  <c r="S45" i="5" l="1"/>
  <c r="U45" i="5"/>
  <c r="AF46" i="5"/>
  <c r="AG46" i="5" s="1"/>
  <c r="AH46" i="5" s="1"/>
  <c r="R46" i="5"/>
  <c r="T46" i="5" s="1"/>
  <c r="AB46" i="5"/>
  <c r="AC46" i="5" s="1"/>
  <c r="AD46" i="5" s="1"/>
  <c r="N47" i="5"/>
  <c r="O46" i="5"/>
  <c r="P46" i="5" s="1"/>
  <c r="X98" i="5"/>
  <c r="Y97" i="5"/>
  <c r="X103" i="4"/>
  <c r="Y102" i="4"/>
  <c r="AF45" i="4"/>
  <c r="AG45" i="4" s="1"/>
  <c r="AH45" i="4" s="1"/>
  <c r="AB45" i="4"/>
  <c r="AC45" i="4" s="1"/>
  <c r="AD45" i="4" s="1"/>
  <c r="N46" i="4"/>
  <c r="R45" i="4"/>
  <c r="T45" i="4" s="1"/>
  <c r="O45" i="4"/>
  <c r="P45" i="4" s="1"/>
  <c r="U44" i="4"/>
  <c r="S44" i="4"/>
  <c r="N62" i="1"/>
  <c r="O61" i="1"/>
  <c r="P61" i="1" s="1"/>
  <c r="X104" i="1"/>
  <c r="Y103" i="1"/>
  <c r="U39" i="1"/>
  <c r="S39" i="1"/>
  <c r="AC39" i="1"/>
  <c r="AD39" i="1" s="1"/>
  <c r="AF40" i="1"/>
  <c r="AG40" i="1" s="1"/>
  <c r="AH40" i="1" s="1"/>
  <c r="AB40" i="1"/>
  <c r="R40" i="1"/>
  <c r="T40" i="1" s="1"/>
  <c r="O40" i="1"/>
  <c r="P40" i="1" s="1"/>
  <c r="X99" i="5" l="1"/>
  <c r="Y98" i="5"/>
  <c r="AF47" i="5"/>
  <c r="AG47" i="5" s="1"/>
  <c r="AH47" i="5" s="1"/>
  <c r="AB47" i="5"/>
  <c r="AC47" i="5" s="1"/>
  <c r="AD47" i="5" s="1"/>
  <c r="R47" i="5"/>
  <c r="T47" i="5" s="1"/>
  <c r="N48" i="5"/>
  <c r="O47" i="5"/>
  <c r="P47" i="5" s="1"/>
  <c r="S46" i="5"/>
  <c r="U46" i="5"/>
  <c r="S45" i="4"/>
  <c r="U45" i="4"/>
  <c r="R46" i="4"/>
  <c r="T46" i="4" s="1"/>
  <c r="N47" i="4"/>
  <c r="AB46" i="4"/>
  <c r="AC46" i="4" s="1"/>
  <c r="AD46" i="4" s="1"/>
  <c r="AF46" i="4"/>
  <c r="AG46" i="4" s="1"/>
  <c r="AH46" i="4" s="1"/>
  <c r="O46" i="4"/>
  <c r="P46" i="4" s="1"/>
  <c r="X104" i="4"/>
  <c r="Y103" i="4"/>
  <c r="N63" i="1"/>
  <c r="O62" i="1"/>
  <c r="P62" i="1" s="1"/>
  <c r="X105" i="1"/>
  <c r="Y104" i="1"/>
  <c r="U40" i="1"/>
  <c r="S40" i="1"/>
  <c r="AC40" i="1"/>
  <c r="AD40" i="1" s="1"/>
  <c r="AF41" i="1"/>
  <c r="AG41" i="1" s="1"/>
  <c r="AH41" i="1" s="1"/>
  <c r="AB41" i="1"/>
  <c r="R41" i="1"/>
  <c r="T41" i="1" s="1"/>
  <c r="P41" i="1"/>
  <c r="X100" i="5" l="1"/>
  <c r="Y99" i="5"/>
  <c r="N49" i="5"/>
  <c r="AB48" i="5"/>
  <c r="AC48" i="5" s="1"/>
  <c r="AD48" i="5" s="1"/>
  <c r="AF48" i="5"/>
  <c r="AG48" i="5" s="1"/>
  <c r="AH48" i="5" s="1"/>
  <c r="R48" i="5"/>
  <c r="T48" i="5" s="1"/>
  <c r="O48" i="5"/>
  <c r="P48" i="5" s="1"/>
  <c r="S47" i="5"/>
  <c r="U47" i="5"/>
  <c r="X105" i="4"/>
  <c r="Y104" i="4"/>
  <c r="AB47" i="4"/>
  <c r="AC47" i="4" s="1"/>
  <c r="AD47" i="4" s="1"/>
  <c r="R47" i="4"/>
  <c r="T47" i="4" s="1"/>
  <c r="AF47" i="4"/>
  <c r="AG47" i="4" s="1"/>
  <c r="AH47" i="4" s="1"/>
  <c r="O47" i="4"/>
  <c r="P47" i="4" s="1"/>
  <c r="N48" i="4"/>
  <c r="S46" i="4"/>
  <c r="U46" i="4"/>
  <c r="O63" i="1"/>
  <c r="P63" i="1" s="1"/>
  <c r="N64" i="1"/>
  <c r="X106" i="1"/>
  <c r="Y105" i="1"/>
  <c r="U41" i="1"/>
  <c r="S41" i="1"/>
  <c r="AC41" i="1"/>
  <c r="AD41" i="1" s="1"/>
  <c r="AF42" i="1"/>
  <c r="AG42" i="1" s="1"/>
  <c r="AH42" i="1" s="1"/>
  <c r="AB42" i="1"/>
  <c r="R42" i="1"/>
  <c r="T42" i="1" s="1"/>
  <c r="O42" i="1"/>
  <c r="P42" i="1" s="1"/>
  <c r="U48" i="5" l="1"/>
  <c r="S48" i="5"/>
  <c r="AF49" i="5"/>
  <c r="AG49" i="5" s="1"/>
  <c r="AH49" i="5" s="1"/>
  <c r="N50" i="5"/>
  <c r="R49" i="5"/>
  <c r="T49" i="5" s="1"/>
  <c r="AB49" i="5"/>
  <c r="AC49" i="5" s="1"/>
  <c r="AD49" i="5" s="1"/>
  <c r="O49" i="5"/>
  <c r="P49" i="5" s="1"/>
  <c r="X101" i="5"/>
  <c r="Y100" i="5"/>
  <c r="AB48" i="4"/>
  <c r="AC48" i="4" s="1"/>
  <c r="AD48" i="4" s="1"/>
  <c r="AF48" i="4"/>
  <c r="AG48" i="4" s="1"/>
  <c r="AH48" i="4" s="1"/>
  <c r="R48" i="4"/>
  <c r="T48" i="4" s="1"/>
  <c r="N49" i="4"/>
  <c r="O48" i="4"/>
  <c r="P48" i="4" s="1"/>
  <c r="U47" i="4"/>
  <c r="S47" i="4"/>
  <c r="X106" i="4"/>
  <c r="Y105" i="4"/>
  <c r="O64" i="1"/>
  <c r="P64" i="1" s="1"/>
  <c r="N65" i="1"/>
  <c r="X107" i="1"/>
  <c r="Y106" i="1"/>
  <c r="U42" i="1"/>
  <c r="S42" i="1"/>
  <c r="AC42" i="1"/>
  <c r="AD42" i="1" s="1"/>
  <c r="AF44" i="1"/>
  <c r="AG44" i="1" s="1"/>
  <c r="AH44" i="1" s="1"/>
  <c r="AB44" i="1"/>
  <c r="R44" i="1"/>
  <c r="T44" i="1" s="1"/>
  <c r="X102" i="5" l="1"/>
  <c r="Y101" i="5"/>
  <c r="U49" i="5"/>
  <c r="S49" i="5"/>
  <c r="AF50" i="5"/>
  <c r="AG50" i="5" s="1"/>
  <c r="AH50" i="5" s="1"/>
  <c r="N51" i="5"/>
  <c r="R50" i="5"/>
  <c r="T50" i="5" s="1"/>
  <c r="AB50" i="5"/>
  <c r="AC50" i="5" s="1"/>
  <c r="AD50" i="5" s="1"/>
  <c r="O50" i="5"/>
  <c r="P50" i="5" s="1"/>
  <c r="X107" i="4"/>
  <c r="Y106" i="4"/>
  <c r="N50" i="4"/>
  <c r="R49" i="4"/>
  <c r="T49" i="4" s="1"/>
  <c r="AF49" i="4"/>
  <c r="AG49" i="4" s="1"/>
  <c r="AH49" i="4" s="1"/>
  <c r="AB49" i="4"/>
  <c r="AC49" i="4" s="1"/>
  <c r="AD49" i="4" s="1"/>
  <c r="O49" i="4"/>
  <c r="P49" i="4" s="1"/>
  <c r="S48" i="4"/>
  <c r="U48" i="4"/>
  <c r="O65" i="1"/>
  <c r="P65" i="1" s="1"/>
  <c r="N66" i="1"/>
  <c r="X108" i="1"/>
  <c r="Y107" i="1"/>
  <c r="U44" i="1"/>
  <c r="S44" i="1"/>
  <c r="AC44" i="1"/>
  <c r="AD44" i="1" s="1"/>
  <c r="AF45" i="1"/>
  <c r="AG45" i="1" s="1"/>
  <c r="AH45" i="1" s="1"/>
  <c r="AB45" i="1"/>
  <c r="R45" i="1"/>
  <c r="T45" i="1" s="1"/>
  <c r="U50" i="5" l="1"/>
  <c r="S50" i="5"/>
  <c r="AB51" i="5"/>
  <c r="AC51" i="5" s="1"/>
  <c r="AD51" i="5" s="1"/>
  <c r="AF51" i="5"/>
  <c r="AG51" i="5" s="1"/>
  <c r="AH51" i="5" s="1"/>
  <c r="R51" i="5"/>
  <c r="T51" i="5" s="1"/>
  <c r="O51" i="5"/>
  <c r="P51" i="5" s="1"/>
  <c r="N52" i="5"/>
  <c r="X103" i="5"/>
  <c r="Y102" i="5"/>
  <c r="U49" i="4"/>
  <c r="S49" i="4"/>
  <c r="AF50" i="4"/>
  <c r="AG50" i="4" s="1"/>
  <c r="AH50" i="4" s="1"/>
  <c r="AB50" i="4"/>
  <c r="AC50" i="4" s="1"/>
  <c r="AD50" i="4" s="1"/>
  <c r="R50" i="4"/>
  <c r="T50" i="4" s="1"/>
  <c r="N51" i="4"/>
  <c r="O50" i="4"/>
  <c r="P50" i="4" s="1"/>
  <c r="X108" i="4"/>
  <c r="Y107" i="4"/>
  <c r="O66" i="1"/>
  <c r="P66" i="1" s="1"/>
  <c r="N67" i="1"/>
  <c r="X109" i="1"/>
  <c r="Y108" i="1"/>
  <c r="U45" i="1"/>
  <c r="S45" i="1"/>
  <c r="AC45" i="1"/>
  <c r="AD45" i="1" s="1"/>
  <c r="AF46" i="1"/>
  <c r="AG46" i="1" s="1"/>
  <c r="AH46" i="1" s="1"/>
  <c r="AB46" i="1"/>
  <c r="R46" i="1"/>
  <c r="T46" i="1" s="1"/>
  <c r="X104" i="5" l="1"/>
  <c r="Y103" i="5"/>
  <c r="U51" i="5"/>
  <c r="S51" i="5"/>
  <c r="R52" i="5"/>
  <c r="T52" i="5" s="1"/>
  <c r="AF52" i="5"/>
  <c r="AG52" i="5" s="1"/>
  <c r="AH52" i="5" s="1"/>
  <c r="AB52" i="5"/>
  <c r="AC52" i="5" s="1"/>
  <c r="AD52" i="5" s="1"/>
  <c r="N53" i="5"/>
  <c r="O52" i="5"/>
  <c r="P52" i="5" s="1"/>
  <c r="X109" i="4"/>
  <c r="Y108" i="4"/>
  <c r="R51" i="4"/>
  <c r="T51" i="4" s="1"/>
  <c r="N52" i="4"/>
  <c r="AF51" i="4"/>
  <c r="AG51" i="4" s="1"/>
  <c r="AH51" i="4" s="1"/>
  <c r="AB51" i="4"/>
  <c r="AC51" i="4" s="1"/>
  <c r="AD51" i="4" s="1"/>
  <c r="O51" i="4"/>
  <c r="P51" i="4" s="1"/>
  <c r="U50" i="4"/>
  <c r="S50" i="4"/>
  <c r="N68" i="1"/>
  <c r="O67" i="1"/>
  <c r="P67" i="1" s="1"/>
  <c r="X110" i="1"/>
  <c r="Y109" i="1"/>
  <c r="U46" i="1"/>
  <c r="S46" i="1"/>
  <c r="AC46" i="1"/>
  <c r="AD46" i="1" s="1"/>
  <c r="AF47" i="1"/>
  <c r="AG47" i="1" s="1"/>
  <c r="AH47" i="1" s="1"/>
  <c r="AB47" i="1"/>
  <c r="R47" i="1"/>
  <c r="T47" i="1" s="1"/>
  <c r="N54" i="5" l="1"/>
  <c r="R53" i="5"/>
  <c r="T53" i="5" s="1"/>
  <c r="AF53" i="5"/>
  <c r="AG53" i="5" s="1"/>
  <c r="AH53" i="5" s="1"/>
  <c r="AB53" i="5"/>
  <c r="AC53" i="5" s="1"/>
  <c r="AD53" i="5" s="1"/>
  <c r="O53" i="5"/>
  <c r="P53" i="5" s="1"/>
  <c r="S52" i="5"/>
  <c r="U52" i="5"/>
  <c r="X105" i="5"/>
  <c r="Y104" i="5"/>
  <c r="AF52" i="4"/>
  <c r="AG52" i="4" s="1"/>
  <c r="AH52" i="4" s="1"/>
  <c r="AB52" i="4"/>
  <c r="AC52" i="4" s="1"/>
  <c r="AD52" i="4" s="1"/>
  <c r="R52" i="4"/>
  <c r="T52" i="4" s="1"/>
  <c r="N53" i="4"/>
  <c r="O52" i="4"/>
  <c r="P52" i="4" s="1"/>
  <c r="S51" i="4"/>
  <c r="U51" i="4"/>
  <c r="X110" i="4"/>
  <c r="Y109" i="4"/>
  <c r="O68" i="1"/>
  <c r="P68" i="1" s="1"/>
  <c r="N69" i="1"/>
  <c r="X111" i="1"/>
  <c r="Y110" i="1"/>
  <c r="U47" i="1"/>
  <c r="S47" i="1"/>
  <c r="AC47" i="1"/>
  <c r="AD47" i="1" s="1"/>
  <c r="AF48" i="1"/>
  <c r="AG48" i="1" s="1"/>
  <c r="AH48" i="1" s="1"/>
  <c r="AB48" i="1"/>
  <c r="R48" i="1"/>
  <c r="T48" i="1" s="1"/>
  <c r="AF54" i="5" l="1"/>
  <c r="AG54" i="5" s="1"/>
  <c r="AH54" i="5" s="1"/>
  <c r="AB54" i="5"/>
  <c r="AC54" i="5" s="1"/>
  <c r="AD54" i="5" s="1"/>
  <c r="N55" i="5"/>
  <c r="R54" i="5"/>
  <c r="T54" i="5" s="1"/>
  <c r="O54" i="5"/>
  <c r="P54" i="5" s="1"/>
  <c r="Y105" i="5"/>
  <c r="X106" i="5"/>
  <c r="S53" i="5"/>
  <c r="U53" i="5"/>
  <c r="X111" i="4"/>
  <c r="Y110" i="4"/>
  <c r="AB53" i="4"/>
  <c r="AC53" i="4" s="1"/>
  <c r="AD53" i="4" s="1"/>
  <c r="R53" i="4"/>
  <c r="T53" i="4" s="1"/>
  <c r="N54" i="4"/>
  <c r="AF53" i="4"/>
  <c r="AG53" i="4" s="1"/>
  <c r="AH53" i="4" s="1"/>
  <c r="O53" i="4"/>
  <c r="P53" i="4" s="1"/>
  <c r="U52" i="4"/>
  <c r="S52" i="4"/>
  <c r="N70" i="1"/>
  <c r="O69" i="1"/>
  <c r="P69" i="1" s="1"/>
  <c r="X112" i="1"/>
  <c r="Y111" i="1"/>
  <c r="U48" i="1"/>
  <c r="S48" i="1"/>
  <c r="AC48" i="1"/>
  <c r="AD48" i="1" s="1"/>
  <c r="AF49" i="1"/>
  <c r="AG49" i="1" s="1"/>
  <c r="AH49" i="1" s="1"/>
  <c r="AB49" i="1"/>
  <c r="R49" i="1"/>
  <c r="T49" i="1" s="1"/>
  <c r="X107" i="5" l="1"/>
  <c r="Y106" i="5"/>
  <c r="U54" i="5"/>
  <c r="S54" i="5"/>
  <c r="N56" i="5"/>
  <c r="R55" i="5"/>
  <c r="T55" i="5" s="1"/>
  <c r="AB55" i="5"/>
  <c r="AC55" i="5" s="1"/>
  <c r="AD55" i="5" s="1"/>
  <c r="O55" i="5"/>
  <c r="P55" i="5" s="1"/>
  <c r="AF55" i="5"/>
  <c r="AG55" i="5" s="1"/>
  <c r="AH55" i="5" s="1"/>
  <c r="N55" i="4"/>
  <c r="R54" i="4"/>
  <c r="T54" i="4" s="1"/>
  <c r="AF54" i="4"/>
  <c r="AG54" i="4" s="1"/>
  <c r="AH54" i="4" s="1"/>
  <c r="AB54" i="4"/>
  <c r="AC54" i="4" s="1"/>
  <c r="AD54" i="4" s="1"/>
  <c r="S53" i="4"/>
  <c r="U53" i="4"/>
  <c r="X112" i="4"/>
  <c r="Y111" i="4"/>
  <c r="N71" i="1"/>
  <c r="O70" i="1"/>
  <c r="P70" i="1" s="1"/>
  <c r="X113" i="1"/>
  <c r="Y112" i="1"/>
  <c r="U49" i="1"/>
  <c r="S49" i="1"/>
  <c r="AC49" i="1"/>
  <c r="AD49" i="1" s="1"/>
  <c r="AF50" i="1"/>
  <c r="AG50" i="1" s="1"/>
  <c r="AH50" i="1" s="1"/>
  <c r="AB50" i="1"/>
  <c r="R50" i="1"/>
  <c r="T50" i="1" s="1"/>
  <c r="U55" i="5" l="1"/>
  <c r="S55" i="5"/>
  <c r="N57" i="5"/>
  <c r="O56" i="5"/>
  <c r="P56" i="5" s="1"/>
  <c r="AB56" i="5"/>
  <c r="AC56" i="5" s="1"/>
  <c r="AD56" i="5" s="1"/>
  <c r="R56" i="5"/>
  <c r="T56" i="5" s="1"/>
  <c r="AF56" i="5"/>
  <c r="AG56" i="5" s="1"/>
  <c r="AH56" i="5" s="1"/>
  <c r="X108" i="5"/>
  <c r="Y107" i="5"/>
  <c r="X113" i="4"/>
  <c r="Y112" i="4"/>
  <c r="U54" i="4"/>
  <c r="S54" i="4"/>
  <c r="N56" i="4"/>
  <c r="R55" i="4"/>
  <c r="T55" i="4" s="1"/>
  <c r="AF55" i="4"/>
  <c r="AG55" i="4" s="1"/>
  <c r="AH55" i="4" s="1"/>
  <c r="AB55" i="4"/>
  <c r="AC55" i="4" s="1"/>
  <c r="AD55" i="4" s="1"/>
  <c r="O55" i="4"/>
  <c r="P55" i="4" s="1"/>
  <c r="N72" i="1"/>
  <c r="O71" i="1"/>
  <c r="P71" i="1" s="1"/>
  <c r="X114" i="1"/>
  <c r="Y113" i="1"/>
  <c r="U50" i="1"/>
  <c r="S50" i="1"/>
  <c r="AC50" i="1"/>
  <c r="AD50" i="1" s="1"/>
  <c r="AF51" i="1"/>
  <c r="AG51" i="1" s="1"/>
  <c r="AH51" i="1" s="1"/>
  <c r="AB51" i="1"/>
  <c r="R51" i="1"/>
  <c r="T51" i="1" s="1"/>
  <c r="X109" i="5" l="1"/>
  <c r="Y108" i="5"/>
  <c r="S56" i="5"/>
  <c r="U56" i="5"/>
  <c r="R57" i="5"/>
  <c r="T57" i="5" s="1"/>
  <c r="N58" i="5"/>
  <c r="AF57" i="5"/>
  <c r="AG57" i="5" s="1"/>
  <c r="AH57" i="5" s="1"/>
  <c r="AB57" i="5"/>
  <c r="AC57" i="5" s="1"/>
  <c r="AD57" i="5" s="1"/>
  <c r="O57" i="5"/>
  <c r="P57" i="5" s="1"/>
  <c r="S55" i="4"/>
  <c r="U55" i="4"/>
  <c r="R56" i="4"/>
  <c r="T56" i="4" s="1"/>
  <c r="N57" i="4"/>
  <c r="AF56" i="4"/>
  <c r="AG56" i="4" s="1"/>
  <c r="AH56" i="4" s="1"/>
  <c r="AB56" i="4"/>
  <c r="AC56" i="4" s="1"/>
  <c r="AD56" i="4" s="1"/>
  <c r="O56" i="4"/>
  <c r="P56" i="4" s="1"/>
  <c r="Y113" i="4"/>
  <c r="X114" i="4"/>
  <c r="O72" i="1"/>
  <c r="P72" i="1" s="1"/>
  <c r="N73" i="1"/>
  <c r="X115" i="1"/>
  <c r="Y114" i="1"/>
  <c r="U51" i="1"/>
  <c r="S51" i="1"/>
  <c r="AC51" i="1"/>
  <c r="AD51" i="1" s="1"/>
  <c r="AF52" i="1"/>
  <c r="AG52" i="1" s="1"/>
  <c r="AH52" i="1" s="1"/>
  <c r="AB52" i="1"/>
  <c r="R52" i="1"/>
  <c r="T52" i="1" s="1"/>
  <c r="AB58" i="5" l="1"/>
  <c r="AC58" i="5" s="1"/>
  <c r="AD58" i="5" s="1"/>
  <c r="R58" i="5"/>
  <c r="T58" i="5" s="1"/>
  <c r="N59" i="5"/>
  <c r="AF58" i="5"/>
  <c r="AG58" i="5" s="1"/>
  <c r="AH58" i="5" s="1"/>
  <c r="O58" i="5"/>
  <c r="P58" i="5" s="1"/>
  <c r="S57" i="5"/>
  <c r="U57" i="5"/>
  <c r="X110" i="5"/>
  <c r="Y109" i="5"/>
  <c r="Y114" i="4"/>
  <c r="X115" i="4"/>
  <c r="AB57" i="4"/>
  <c r="AC57" i="4" s="1"/>
  <c r="AD57" i="4" s="1"/>
  <c r="N58" i="4"/>
  <c r="AF57" i="4"/>
  <c r="AG57" i="4" s="1"/>
  <c r="AH57" i="4" s="1"/>
  <c r="R57" i="4"/>
  <c r="T57" i="4" s="1"/>
  <c r="O57" i="4"/>
  <c r="P57" i="4" s="1"/>
  <c r="S56" i="4"/>
  <c r="U56" i="4"/>
  <c r="O73" i="1"/>
  <c r="P73" i="1" s="1"/>
  <c r="N74" i="1"/>
  <c r="X116" i="1"/>
  <c r="Y115" i="1"/>
  <c r="U52" i="1"/>
  <c r="S52" i="1"/>
  <c r="AC52" i="1"/>
  <c r="AD52" i="1" s="1"/>
  <c r="AF53" i="1"/>
  <c r="AG53" i="1" s="1"/>
  <c r="AH53" i="1" s="1"/>
  <c r="AB53" i="1"/>
  <c r="R53" i="1"/>
  <c r="T53" i="1" s="1"/>
  <c r="X111" i="5" l="1"/>
  <c r="Y110" i="5"/>
  <c r="R59" i="5"/>
  <c r="T59" i="5" s="1"/>
  <c r="AB59" i="5"/>
  <c r="AC59" i="5" s="1"/>
  <c r="AD59" i="5" s="1"/>
  <c r="O59" i="5"/>
  <c r="P59" i="5" s="1"/>
  <c r="AF59" i="5"/>
  <c r="AG59" i="5" s="1"/>
  <c r="AH59" i="5" s="1"/>
  <c r="N60" i="5"/>
  <c r="U58" i="5"/>
  <c r="S58" i="5"/>
  <c r="R58" i="4"/>
  <c r="T58" i="4" s="1"/>
  <c r="AF58" i="4"/>
  <c r="AG58" i="4" s="1"/>
  <c r="AH58" i="4" s="1"/>
  <c r="O58" i="4"/>
  <c r="P58" i="4" s="1"/>
  <c r="AB58" i="4"/>
  <c r="AC58" i="4" s="1"/>
  <c r="AD58" i="4" s="1"/>
  <c r="N59" i="4"/>
  <c r="U57" i="4"/>
  <c r="S57" i="4"/>
  <c r="X116" i="4"/>
  <c r="Y115" i="4"/>
  <c r="O74" i="1"/>
  <c r="P74" i="1" s="1"/>
  <c r="N75" i="1"/>
  <c r="X117" i="1"/>
  <c r="Y116" i="1"/>
  <c r="U53" i="1"/>
  <c r="S53" i="1"/>
  <c r="AC53" i="1"/>
  <c r="AD53" i="1" s="1"/>
  <c r="AF54" i="1"/>
  <c r="AG54" i="1" s="1"/>
  <c r="AH54" i="1" s="1"/>
  <c r="AB54" i="1"/>
  <c r="R54" i="1"/>
  <c r="T54" i="1" s="1"/>
  <c r="AF60" i="5" l="1"/>
  <c r="AG60" i="5" s="1"/>
  <c r="AH60" i="5" s="1"/>
  <c r="AB60" i="5"/>
  <c r="AC60" i="5" s="1"/>
  <c r="AD60" i="5" s="1"/>
  <c r="R60" i="5"/>
  <c r="T60" i="5" s="1"/>
  <c r="O60" i="5"/>
  <c r="P60" i="5" s="1"/>
  <c r="N61" i="5"/>
  <c r="S59" i="5"/>
  <c r="U59" i="5"/>
  <c r="X112" i="5"/>
  <c r="Y111" i="5"/>
  <c r="X117" i="4"/>
  <c r="Y116" i="4"/>
  <c r="AF59" i="4"/>
  <c r="AG59" i="4" s="1"/>
  <c r="AH59" i="4" s="1"/>
  <c r="AB59" i="4"/>
  <c r="AC59" i="4" s="1"/>
  <c r="AD59" i="4" s="1"/>
  <c r="N60" i="4"/>
  <c r="R59" i="4"/>
  <c r="T59" i="4" s="1"/>
  <c r="O59" i="4"/>
  <c r="P59" i="4" s="1"/>
  <c r="S58" i="4"/>
  <c r="U58" i="4"/>
  <c r="N76" i="1"/>
  <c r="O75" i="1"/>
  <c r="P75" i="1" s="1"/>
  <c r="X118" i="1"/>
  <c r="Y117" i="1"/>
  <c r="U54" i="1"/>
  <c r="S54" i="1"/>
  <c r="AC54" i="1"/>
  <c r="AD54" i="1" s="1"/>
  <c r="AF55" i="1"/>
  <c r="AG55" i="1" s="1"/>
  <c r="AH55" i="1" s="1"/>
  <c r="AB55" i="1"/>
  <c r="R55" i="1"/>
  <c r="T55" i="1" s="1"/>
  <c r="X113" i="5" l="1"/>
  <c r="Y112" i="5"/>
  <c r="AB61" i="5"/>
  <c r="AC61" i="5" s="1"/>
  <c r="AD61" i="5" s="1"/>
  <c r="AF61" i="5"/>
  <c r="AG61" i="5" s="1"/>
  <c r="AH61" i="5" s="1"/>
  <c r="N62" i="5"/>
  <c r="R61" i="5"/>
  <c r="T61" i="5" s="1"/>
  <c r="O61" i="5"/>
  <c r="P61" i="5" s="1"/>
  <c r="U60" i="5"/>
  <c r="S60" i="5"/>
  <c r="AB60" i="4"/>
  <c r="AC60" i="4" s="1"/>
  <c r="AD60" i="4" s="1"/>
  <c r="R60" i="4"/>
  <c r="T60" i="4" s="1"/>
  <c r="N61" i="4"/>
  <c r="AF60" i="4"/>
  <c r="AG60" i="4" s="1"/>
  <c r="AH60" i="4" s="1"/>
  <c r="O60" i="4"/>
  <c r="P60" i="4" s="1"/>
  <c r="X118" i="4"/>
  <c r="Y118" i="4" s="1"/>
  <c r="Y117" i="4"/>
  <c r="S59" i="4"/>
  <c r="U59" i="4"/>
  <c r="O76" i="1"/>
  <c r="P76" i="1" s="1"/>
  <c r="N77" i="1"/>
  <c r="Y118" i="1"/>
  <c r="U55" i="1"/>
  <c r="S55" i="1"/>
  <c r="AC55" i="1"/>
  <c r="AD55" i="1" s="1"/>
  <c r="AF56" i="1"/>
  <c r="AG56" i="1" s="1"/>
  <c r="AH56" i="1" s="1"/>
  <c r="AB56" i="1"/>
  <c r="R56" i="1"/>
  <c r="T56" i="1" s="1"/>
  <c r="U61" i="5" l="1"/>
  <c r="S61" i="5"/>
  <c r="N63" i="5"/>
  <c r="R62" i="5"/>
  <c r="T62" i="5" s="1"/>
  <c r="AB62" i="5"/>
  <c r="AC62" i="5" s="1"/>
  <c r="AD62" i="5" s="1"/>
  <c r="AF62" i="5"/>
  <c r="AG62" i="5" s="1"/>
  <c r="AH62" i="5" s="1"/>
  <c r="O62" i="5"/>
  <c r="P62" i="5" s="1"/>
  <c r="Y113" i="5"/>
  <c r="X114" i="5"/>
  <c r="N62" i="4"/>
  <c r="R61" i="4"/>
  <c r="T61" i="4" s="1"/>
  <c r="AF61" i="4"/>
  <c r="AG61" i="4" s="1"/>
  <c r="AH61" i="4" s="1"/>
  <c r="AB61" i="4"/>
  <c r="AC61" i="4" s="1"/>
  <c r="AD61" i="4" s="1"/>
  <c r="O61" i="4"/>
  <c r="P61" i="4" s="1"/>
  <c r="U60" i="4"/>
  <c r="S60" i="4"/>
  <c r="O77" i="1"/>
  <c r="P77" i="1" s="1"/>
  <c r="N78" i="1"/>
  <c r="U56" i="1"/>
  <c r="S56" i="1"/>
  <c r="AC56" i="1"/>
  <c r="AD56" i="1" s="1"/>
  <c r="AF57" i="1"/>
  <c r="AG57" i="1" s="1"/>
  <c r="AH57" i="1" s="1"/>
  <c r="AB57" i="1"/>
  <c r="R57" i="1"/>
  <c r="T57" i="1" s="1"/>
  <c r="X115" i="5" l="1"/>
  <c r="Y114" i="5"/>
  <c r="S62" i="5"/>
  <c r="U62" i="5"/>
  <c r="O63" i="5"/>
  <c r="P63" i="5" s="1"/>
  <c r="AF63" i="5"/>
  <c r="AG63" i="5" s="1"/>
  <c r="AH63" i="5" s="1"/>
  <c r="AB63" i="5"/>
  <c r="AC63" i="5" s="1"/>
  <c r="AD63" i="5" s="1"/>
  <c r="R63" i="5"/>
  <c r="T63" i="5" s="1"/>
  <c r="N64" i="5"/>
  <c r="S61" i="4"/>
  <c r="U61" i="4"/>
  <c r="AB62" i="4"/>
  <c r="AC62" i="4" s="1"/>
  <c r="AD62" i="4" s="1"/>
  <c r="R62" i="4"/>
  <c r="T62" i="4" s="1"/>
  <c r="N63" i="4"/>
  <c r="O62" i="4"/>
  <c r="P62" i="4" s="1"/>
  <c r="AF62" i="4"/>
  <c r="AG62" i="4" s="1"/>
  <c r="AH62" i="4" s="1"/>
  <c r="AF78" i="1"/>
  <c r="AG78" i="1" s="1"/>
  <c r="AH78" i="1" s="1"/>
  <c r="AB78" i="1"/>
  <c r="AC78" i="1" s="1"/>
  <c r="AD78" i="1" s="1"/>
  <c r="O78" i="1"/>
  <c r="P78" i="1" s="1"/>
  <c r="N79" i="1"/>
  <c r="R78" i="1"/>
  <c r="T78" i="1" s="1"/>
  <c r="U57" i="1"/>
  <c r="S57" i="1"/>
  <c r="AC57" i="1"/>
  <c r="AD57" i="1" s="1"/>
  <c r="AF58" i="1"/>
  <c r="AG58" i="1" s="1"/>
  <c r="AH58" i="1" s="1"/>
  <c r="AB58" i="1"/>
  <c r="R58" i="1"/>
  <c r="T58" i="1" s="1"/>
  <c r="AF64" i="5" l="1"/>
  <c r="AG64" i="5" s="1"/>
  <c r="AH64" i="5" s="1"/>
  <c r="R64" i="5"/>
  <c r="T64" i="5" s="1"/>
  <c r="N65" i="5"/>
  <c r="AB64" i="5"/>
  <c r="AC64" i="5" s="1"/>
  <c r="AD64" i="5" s="1"/>
  <c r="O64" i="5"/>
  <c r="P64" i="5" s="1"/>
  <c r="U63" i="5"/>
  <c r="S63" i="5"/>
  <c r="X116" i="5"/>
  <c r="Y115" i="5"/>
  <c r="N64" i="4"/>
  <c r="R63" i="4"/>
  <c r="T63" i="4" s="1"/>
  <c r="AF63" i="4"/>
  <c r="AG63" i="4" s="1"/>
  <c r="AH63" i="4" s="1"/>
  <c r="AB63" i="4"/>
  <c r="AC63" i="4" s="1"/>
  <c r="AD63" i="4" s="1"/>
  <c r="O63" i="4"/>
  <c r="P63" i="4" s="1"/>
  <c r="S62" i="4"/>
  <c r="U62" i="4"/>
  <c r="U78" i="1"/>
  <c r="S78" i="1"/>
  <c r="N80" i="1"/>
  <c r="R79" i="1"/>
  <c r="T79" i="1" s="1"/>
  <c r="AF79" i="1"/>
  <c r="AG79" i="1" s="1"/>
  <c r="AH79" i="1" s="1"/>
  <c r="AB79" i="1"/>
  <c r="AC79" i="1" s="1"/>
  <c r="AD79" i="1" s="1"/>
  <c r="O79" i="1"/>
  <c r="P79" i="1" s="1"/>
  <c r="U58" i="1"/>
  <c r="S58" i="1"/>
  <c r="AC58" i="1"/>
  <c r="AD58" i="1" s="1"/>
  <c r="AF59" i="1"/>
  <c r="AG59" i="1" s="1"/>
  <c r="AH59" i="1" s="1"/>
  <c r="AB59" i="1"/>
  <c r="R59" i="1"/>
  <c r="T59" i="1" s="1"/>
  <c r="X117" i="5" l="1"/>
  <c r="Y116" i="5"/>
  <c r="AB65" i="5"/>
  <c r="AC65" i="5" s="1"/>
  <c r="AD65" i="5" s="1"/>
  <c r="N66" i="5"/>
  <c r="AF65" i="5"/>
  <c r="AG65" i="5" s="1"/>
  <c r="AH65" i="5" s="1"/>
  <c r="R65" i="5"/>
  <c r="T65" i="5" s="1"/>
  <c r="O65" i="5"/>
  <c r="P65" i="5" s="1"/>
  <c r="U64" i="5"/>
  <c r="S64" i="5"/>
  <c r="U63" i="4"/>
  <c r="S63" i="4"/>
  <c r="AF64" i="4"/>
  <c r="AG64" i="4" s="1"/>
  <c r="AH64" i="4" s="1"/>
  <c r="R64" i="4"/>
  <c r="T64" i="4" s="1"/>
  <c r="N65" i="4"/>
  <c r="AB64" i="4"/>
  <c r="AC64" i="4" s="1"/>
  <c r="AD64" i="4" s="1"/>
  <c r="O64" i="4"/>
  <c r="P64" i="4" s="1"/>
  <c r="U79" i="1"/>
  <c r="S79" i="1"/>
  <c r="N81" i="1"/>
  <c r="R80" i="1"/>
  <c r="T80" i="1" s="1"/>
  <c r="AB80" i="1"/>
  <c r="AC80" i="1" s="1"/>
  <c r="AD80" i="1" s="1"/>
  <c r="AF80" i="1"/>
  <c r="AG80" i="1" s="1"/>
  <c r="AH80" i="1" s="1"/>
  <c r="O80" i="1"/>
  <c r="P80" i="1" s="1"/>
  <c r="U59" i="1"/>
  <c r="S59" i="1"/>
  <c r="AC59" i="1"/>
  <c r="AD59" i="1" s="1"/>
  <c r="AF60" i="1"/>
  <c r="AG60" i="1" s="1"/>
  <c r="AH60" i="1" s="1"/>
  <c r="AB60" i="1"/>
  <c r="R60" i="1"/>
  <c r="T60" i="1" s="1"/>
  <c r="U65" i="5" l="1"/>
  <c r="S65" i="5"/>
  <c r="N67" i="5"/>
  <c r="AF66" i="5"/>
  <c r="AG66" i="5" s="1"/>
  <c r="AH66" i="5" s="1"/>
  <c r="AB66" i="5"/>
  <c r="AC66" i="5" s="1"/>
  <c r="AD66" i="5" s="1"/>
  <c r="R66" i="5"/>
  <c r="T66" i="5" s="1"/>
  <c r="O66" i="5"/>
  <c r="P66" i="5" s="1"/>
  <c r="X118" i="5"/>
  <c r="Y118" i="5" s="1"/>
  <c r="Y117" i="5"/>
  <c r="R65" i="4"/>
  <c r="T65" i="4" s="1"/>
  <c r="AB65" i="4"/>
  <c r="AC65" i="4" s="1"/>
  <c r="AD65" i="4" s="1"/>
  <c r="N66" i="4"/>
  <c r="AF65" i="4"/>
  <c r="AG65" i="4" s="1"/>
  <c r="AH65" i="4" s="1"/>
  <c r="O65" i="4"/>
  <c r="P65" i="4" s="1"/>
  <c r="U64" i="4"/>
  <c r="S64" i="4"/>
  <c r="U80" i="1"/>
  <c r="S80" i="1"/>
  <c r="O81" i="1"/>
  <c r="P81" i="1" s="1"/>
  <c r="R81" i="1"/>
  <c r="T81" i="1" s="1"/>
  <c r="AF81" i="1"/>
  <c r="AG81" i="1" s="1"/>
  <c r="AH81" i="1" s="1"/>
  <c r="N82" i="1"/>
  <c r="AB81" i="1"/>
  <c r="AC81" i="1" s="1"/>
  <c r="AD81" i="1" s="1"/>
  <c r="U60" i="1"/>
  <c r="S60" i="1"/>
  <c r="AC60" i="1"/>
  <c r="AD60" i="1" s="1"/>
  <c r="AF61" i="1"/>
  <c r="AG61" i="1" s="1"/>
  <c r="AH61" i="1" s="1"/>
  <c r="AB61" i="1"/>
  <c r="R61" i="1"/>
  <c r="T61" i="1" s="1"/>
  <c r="S66" i="5" l="1"/>
  <c r="U66" i="5"/>
  <c r="N68" i="5"/>
  <c r="AF67" i="5"/>
  <c r="AG67" i="5" s="1"/>
  <c r="AH67" i="5" s="1"/>
  <c r="AB67" i="5"/>
  <c r="AC67" i="5" s="1"/>
  <c r="AD67" i="5" s="1"/>
  <c r="R67" i="5"/>
  <c r="T67" i="5" s="1"/>
  <c r="O67" i="5"/>
  <c r="P67" i="5" s="1"/>
  <c r="AF66" i="4"/>
  <c r="AG66" i="4" s="1"/>
  <c r="AH66" i="4" s="1"/>
  <c r="AB66" i="4"/>
  <c r="AC66" i="4" s="1"/>
  <c r="AD66" i="4" s="1"/>
  <c r="R66" i="4"/>
  <c r="T66" i="4" s="1"/>
  <c r="N67" i="4"/>
  <c r="O66" i="4"/>
  <c r="P66" i="4" s="1"/>
  <c r="U65" i="4"/>
  <c r="S65" i="4"/>
  <c r="N83" i="1"/>
  <c r="AF82" i="1"/>
  <c r="AG82" i="1" s="1"/>
  <c r="AH82" i="1" s="1"/>
  <c r="R82" i="1"/>
  <c r="T82" i="1" s="1"/>
  <c r="AB82" i="1"/>
  <c r="AC82" i="1" s="1"/>
  <c r="AD82" i="1" s="1"/>
  <c r="O82" i="1"/>
  <c r="P82" i="1" s="1"/>
  <c r="S81" i="1"/>
  <c r="U81" i="1"/>
  <c r="U61" i="1"/>
  <c r="S61" i="1"/>
  <c r="AC61" i="1"/>
  <c r="AD61" i="1" s="1"/>
  <c r="AF62" i="1"/>
  <c r="AG62" i="1" s="1"/>
  <c r="AH62" i="1" s="1"/>
  <c r="AB62" i="1"/>
  <c r="R62" i="1"/>
  <c r="T62" i="1" s="1"/>
  <c r="U67" i="5" l="1"/>
  <c r="S67" i="5"/>
  <c r="AF68" i="5"/>
  <c r="AG68" i="5" s="1"/>
  <c r="AH68" i="5" s="1"/>
  <c r="N69" i="5"/>
  <c r="AB68" i="5"/>
  <c r="AC68" i="5" s="1"/>
  <c r="AD68" i="5" s="1"/>
  <c r="R68" i="5"/>
  <c r="T68" i="5" s="1"/>
  <c r="O68" i="5"/>
  <c r="P68" i="5" s="1"/>
  <c r="AB67" i="4"/>
  <c r="AC67" i="4" s="1"/>
  <c r="AD67" i="4" s="1"/>
  <c r="R67" i="4"/>
  <c r="T67" i="4" s="1"/>
  <c r="AF67" i="4"/>
  <c r="AG67" i="4" s="1"/>
  <c r="AH67" i="4" s="1"/>
  <c r="N68" i="4"/>
  <c r="O67" i="4"/>
  <c r="P67" i="4" s="1"/>
  <c r="U66" i="4"/>
  <c r="S66" i="4"/>
  <c r="U82" i="1"/>
  <c r="S82" i="1"/>
  <c r="O83" i="1"/>
  <c r="P83" i="1" s="1"/>
  <c r="N84" i="1"/>
  <c r="R83" i="1"/>
  <c r="T83" i="1" s="1"/>
  <c r="AB83" i="1"/>
  <c r="AC83" i="1" s="1"/>
  <c r="AD83" i="1" s="1"/>
  <c r="AF83" i="1"/>
  <c r="AG83" i="1" s="1"/>
  <c r="AH83" i="1" s="1"/>
  <c r="U62" i="1"/>
  <c r="S62" i="1"/>
  <c r="AC62" i="1"/>
  <c r="AD62" i="1" s="1"/>
  <c r="AF63" i="1"/>
  <c r="AG63" i="1" s="1"/>
  <c r="AH63" i="1" s="1"/>
  <c r="AB63" i="1"/>
  <c r="R63" i="1"/>
  <c r="T63" i="1" s="1"/>
  <c r="U68" i="5" l="1"/>
  <c r="S68" i="5"/>
  <c r="N70" i="5"/>
  <c r="R69" i="5"/>
  <c r="T69" i="5" s="1"/>
  <c r="AB69" i="5"/>
  <c r="AC69" i="5" s="1"/>
  <c r="AD69" i="5" s="1"/>
  <c r="AF69" i="5"/>
  <c r="AG69" i="5" s="1"/>
  <c r="AH69" i="5" s="1"/>
  <c r="O69" i="5"/>
  <c r="P69" i="5" s="1"/>
  <c r="N69" i="4"/>
  <c r="R68" i="4"/>
  <c r="T68" i="4" s="1"/>
  <c r="AF68" i="4"/>
  <c r="AG68" i="4" s="1"/>
  <c r="AH68" i="4" s="1"/>
  <c r="AB68" i="4"/>
  <c r="AC68" i="4" s="1"/>
  <c r="AD68" i="4" s="1"/>
  <c r="O68" i="4"/>
  <c r="P68" i="4" s="1"/>
  <c r="U67" i="4"/>
  <c r="S67" i="4"/>
  <c r="U83" i="1"/>
  <c r="S83" i="1"/>
  <c r="N85" i="1"/>
  <c r="O84" i="1"/>
  <c r="P84" i="1" s="1"/>
  <c r="R84" i="1"/>
  <c r="T84" i="1" s="1"/>
  <c r="AB84" i="1"/>
  <c r="AC84" i="1" s="1"/>
  <c r="AD84" i="1" s="1"/>
  <c r="AF84" i="1"/>
  <c r="AG84" i="1" s="1"/>
  <c r="AH84" i="1" s="1"/>
  <c r="U63" i="1"/>
  <c r="S63" i="1"/>
  <c r="AC63" i="1"/>
  <c r="AD63" i="1" s="1"/>
  <c r="AF64" i="1"/>
  <c r="AG64" i="1" s="1"/>
  <c r="AH64" i="1" s="1"/>
  <c r="AB64" i="1"/>
  <c r="R64" i="1"/>
  <c r="T64" i="1" s="1"/>
  <c r="U69" i="5" l="1"/>
  <c r="S69" i="5"/>
  <c r="N71" i="5"/>
  <c r="R70" i="5"/>
  <c r="T70" i="5" s="1"/>
  <c r="AF70" i="5"/>
  <c r="AG70" i="5" s="1"/>
  <c r="AH70" i="5" s="1"/>
  <c r="AB70" i="5"/>
  <c r="AC70" i="5" s="1"/>
  <c r="AD70" i="5" s="1"/>
  <c r="O70" i="5"/>
  <c r="P70" i="5" s="1"/>
  <c r="U68" i="4"/>
  <c r="S68" i="4"/>
  <c r="N70" i="4"/>
  <c r="R69" i="4"/>
  <c r="T69" i="4" s="1"/>
  <c r="AB69" i="4"/>
  <c r="AC69" i="4" s="1"/>
  <c r="AD69" i="4" s="1"/>
  <c r="O69" i="4"/>
  <c r="P69" i="4" s="1"/>
  <c r="AF69" i="4"/>
  <c r="AG69" i="4" s="1"/>
  <c r="AH69" i="4" s="1"/>
  <c r="U84" i="1"/>
  <c r="S84" i="1"/>
  <c r="N86" i="1"/>
  <c r="O85" i="1"/>
  <c r="P85" i="1" s="1"/>
  <c r="R85" i="1"/>
  <c r="T85" i="1" s="1"/>
  <c r="AB85" i="1"/>
  <c r="AC85" i="1" s="1"/>
  <c r="AD85" i="1" s="1"/>
  <c r="AF85" i="1"/>
  <c r="AG85" i="1" s="1"/>
  <c r="AH85" i="1" s="1"/>
  <c r="U64" i="1"/>
  <c r="S64" i="1"/>
  <c r="AC64" i="1"/>
  <c r="AD64" i="1" s="1"/>
  <c r="AF65" i="1"/>
  <c r="AG65" i="1" s="1"/>
  <c r="AH65" i="1" s="1"/>
  <c r="AB65" i="1"/>
  <c r="R65" i="1"/>
  <c r="T65" i="1" s="1"/>
  <c r="S70" i="5" l="1"/>
  <c r="U70" i="5"/>
  <c r="AF71" i="5"/>
  <c r="AG71" i="5" s="1"/>
  <c r="AH71" i="5" s="1"/>
  <c r="R71" i="5"/>
  <c r="T71" i="5" s="1"/>
  <c r="AB71" i="5"/>
  <c r="AC71" i="5" s="1"/>
  <c r="AD71" i="5" s="1"/>
  <c r="N72" i="5"/>
  <c r="O71" i="5"/>
  <c r="P71" i="5" s="1"/>
  <c r="S69" i="4"/>
  <c r="U69" i="4"/>
  <c r="R70" i="4"/>
  <c r="T70" i="4" s="1"/>
  <c r="N71" i="4"/>
  <c r="AB70" i="4"/>
  <c r="AC70" i="4" s="1"/>
  <c r="AD70" i="4" s="1"/>
  <c r="AF70" i="4"/>
  <c r="AG70" i="4" s="1"/>
  <c r="AH70" i="4" s="1"/>
  <c r="O70" i="4"/>
  <c r="P70" i="4" s="1"/>
  <c r="N87" i="1"/>
  <c r="O86" i="1"/>
  <c r="P86" i="1" s="1"/>
  <c r="AB86" i="1"/>
  <c r="AC86" i="1" s="1"/>
  <c r="AD86" i="1" s="1"/>
  <c r="AF86" i="1"/>
  <c r="AG86" i="1" s="1"/>
  <c r="AH86" i="1" s="1"/>
  <c r="R86" i="1"/>
  <c r="T86" i="1" s="1"/>
  <c r="U86" i="1" s="1"/>
  <c r="S85" i="1"/>
  <c r="U85" i="1"/>
  <c r="U65" i="1"/>
  <c r="S65" i="1"/>
  <c r="AC65" i="1"/>
  <c r="AD65" i="1" s="1"/>
  <c r="AF66" i="1"/>
  <c r="AG66" i="1" s="1"/>
  <c r="AH66" i="1" s="1"/>
  <c r="AB66" i="1"/>
  <c r="R66" i="1"/>
  <c r="T66" i="1" s="1"/>
  <c r="S71" i="5" l="1"/>
  <c r="U71" i="5"/>
  <c r="AB72" i="5"/>
  <c r="AC72" i="5" s="1"/>
  <c r="AD72" i="5" s="1"/>
  <c r="N73" i="5"/>
  <c r="AF72" i="5"/>
  <c r="AG72" i="5" s="1"/>
  <c r="AH72" i="5" s="1"/>
  <c r="R72" i="5"/>
  <c r="T72" i="5" s="1"/>
  <c r="O72" i="5"/>
  <c r="P72" i="5" s="1"/>
  <c r="AB71" i="4"/>
  <c r="AC71" i="4" s="1"/>
  <c r="AD71" i="4" s="1"/>
  <c r="N72" i="4"/>
  <c r="AF71" i="4"/>
  <c r="AG71" i="4" s="1"/>
  <c r="AH71" i="4" s="1"/>
  <c r="R71" i="4"/>
  <c r="T71" i="4" s="1"/>
  <c r="O71" i="4"/>
  <c r="P71" i="4" s="1"/>
  <c r="S70" i="4"/>
  <c r="U70" i="4"/>
  <c r="O87" i="1"/>
  <c r="P87" i="1" s="1"/>
  <c r="N88" i="1"/>
  <c r="R87" i="1"/>
  <c r="T87" i="1" s="1"/>
  <c r="U87" i="1" s="1"/>
  <c r="AB87" i="1"/>
  <c r="AC87" i="1" s="1"/>
  <c r="AD87" i="1" s="1"/>
  <c r="AF87" i="1"/>
  <c r="AG87" i="1" s="1"/>
  <c r="AH87" i="1" s="1"/>
  <c r="U66" i="1"/>
  <c r="S66" i="1"/>
  <c r="AC66" i="1"/>
  <c r="AD66" i="1" s="1"/>
  <c r="AF67" i="1"/>
  <c r="AG67" i="1" s="1"/>
  <c r="AH67" i="1" s="1"/>
  <c r="AB67" i="1"/>
  <c r="R67" i="1"/>
  <c r="T67" i="1" s="1"/>
  <c r="U72" i="5" l="1"/>
  <c r="S72" i="5"/>
  <c r="R73" i="5"/>
  <c r="T73" i="5" s="1"/>
  <c r="AF73" i="5"/>
  <c r="AG73" i="5" s="1"/>
  <c r="AH73" i="5" s="1"/>
  <c r="AB73" i="5"/>
  <c r="AC73" i="5" s="1"/>
  <c r="AD73" i="5" s="1"/>
  <c r="N74" i="5"/>
  <c r="O73" i="5"/>
  <c r="P73" i="5" s="1"/>
  <c r="U71" i="4"/>
  <c r="S71" i="4"/>
  <c r="R72" i="4"/>
  <c r="T72" i="4" s="1"/>
  <c r="AF72" i="4"/>
  <c r="AG72" i="4" s="1"/>
  <c r="AH72" i="4" s="1"/>
  <c r="N73" i="4"/>
  <c r="O72" i="4"/>
  <c r="P72" i="4" s="1"/>
  <c r="AB72" i="4"/>
  <c r="AC72" i="4" s="1"/>
  <c r="AD72" i="4" s="1"/>
  <c r="N89" i="1"/>
  <c r="O88" i="1"/>
  <c r="P88" i="1" s="1"/>
  <c r="AB88" i="1"/>
  <c r="AC88" i="1" s="1"/>
  <c r="AD88" i="1" s="1"/>
  <c r="AF88" i="1"/>
  <c r="AG88" i="1" s="1"/>
  <c r="AH88" i="1" s="1"/>
  <c r="R88" i="1"/>
  <c r="T88" i="1" s="1"/>
  <c r="U88" i="1" s="1"/>
  <c r="U67" i="1"/>
  <c r="S67" i="1"/>
  <c r="AC67" i="1"/>
  <c r="AD67" i="1" s="1"/>
  <c r="AF68" i="1"/>
  <c r="AG68" i="1" s="1"/>
  <c r="AH68" i="1" s="1"/>
  <c r="AB68" i="1"/>
  <c r="R68" i="1"/>
  <c r="T68" i="1" s="1"/>
  <c r="AF74" i="5" l="1"/>
  <c r="AG74" i="5" s="1"/>
  <c r="AH74" i="5" s="1"/>
  <c r="AB74" i="5"/>
  <c r="AC74" i="5" s="1"/>
  <c r="AD74" i="5" s="1"/>
  <c r="R74" i="5"/>
  <c r="T74" i="5" s="1"/>
  <c r="O74" i="5"/>
  <c r="P74" i="5" s="1"/>
  <c r="N75" i="5"/>
  <c r="U73" i="5"/>
  <c r="S73" i="5"/>
  <c r="AF73" i="4"/>
  <c r="AG73" i="4" s="1"/>
  <c r="AH73" i="4" s="1"/>
  <c r="R73" i="4"/>
  <c r="T73" i="4" s="1"/>
  <c r="N74" i="4"/>
  <c r="O73" i="4"/>
  <c r="P73" i="4" s="1"/>
  <c r="AB73" i="4"/>
  <c r="AC73" i="4" s="1"/>
  <c r="AD73" i="4" s="1"/>
  <c r="S72" i="4"/>
  <c r="U72" i="4"/>
  <c r="O89" i="1"/>
  <c r="P89" i="1" s="1"/>
  <c r="N90" i="1"/>
  <c r="AB89" i="1"/>
  <c r="AC89" i="1" s="1"/>
  <c r="AD89" i="1" s="1"/>
  <c r="AF89" i="1"/>
  <c r="AG89" i="1" s="1"/>
  <c r="AH89" i="1" s="1"/>
  <c r="R89" i="1"/>
  <c r="T89" i="1" s="1"/>
  <c r="U89" i="1" s="1"/>
  <c r="U68" i="1"/>
  <c r="S68" i="1"/>
  <c r="AC68" i="1"/>
  <c r="AD68" i="1" s="1"/>
  <c r="AF69" i="1"/>
  <c r="AG69" i="1" s="1"/>
  <c r="AH69" i="1" s="1"/>
  <c r="AB69" i="1"/>
  <c r="R69" i="1"/>
  <c r="T69" i="1" s="1"/>
  <c r="AF75" i="5" l="1"/>
  <c r="AG75" i="5" s="1"/>
  <c r="AH75" i="5" s="1"/>
  <c r="AB75" i="5"/>
  <c r="AC75" i="5" s="1"/>
  <c r="AD75" i="5" s="1"/>
  <c r="N76" i="5"/>
  <c r="R75" i="5"/>
  <c r="T75" i="5" s="1"/>
  <c r="O75" i="5"/>
  <c r="P75" i="5" s="1"/>
  <c r="S74" i="5"/>
  <c r="U74" i="5"/>
  <c r="AB74" i="4"/>
  <c r="AC74" i="4" s="1"/>
  <c r="AD74" i="4" s="1"/>
  <c r="R74" i="4"/>
  <c r="T74" i="4" s="1"/>
  <c r="AF74" i="4"/>
  <c r="AG74" i="4" s="1"/>
  <c r="AH74" i="4" s="1"/>
  <c r="N75" i="4"/>
  <c r="O74" i="4"/>
  <c r="P74" i="4" s="1"/>
  <c r="U73" i="4"/>
  <c r="S73" i="4"/>
  <c r="O90" i="1"/>
  <c r="P90" i="1" s="1"/>
  <c r="R90" i="1"/>
  <c r="T90" i="1" s="1"/>
  <c r="U90" i="1" s="1"/>
  <c r="AB90" i="1"/>
  <c r="AC90" i="1" s="1"/>
  <c r="AD90" i="1" s="1"/>
  <c r="N91" i="1"/>
  <c r="AF90" i="1"/>
  <c r="AG90" i="1" s="1"/>
  <c r="AH90" i="1" s="1"/>
  <c r="U69" i="1"/>
  <c r="S69" i="1"/>
  <c r="AC69" i="1"/>
  <c r="AD69" i="1" s="1"/>
  <c r="AF70" i="1"/>
  <c r="AG70" i="1" s="1"/>
  <c r="AH70" i="1" s="1"/>
  <c r="AB70" i="1"/>
  <c r="R70" i="1"/>
  <c r="T70" i="1" s="1"/>
  <c r="U75" i="5" l="1"/>
  <c r="S75" i="5"/>
  <c r="AF76" i="5"/>
  <c r="AG76" i="5" s="1"/>
  <c r="AH76" i="5" s="1"/>
  <c r="R76" i="5"/>
  <c r="T76" i="5" s="1"/>
  <c r="N77" i="5"/>
  <c r="AB76" i="5"/>
  <c r="AC76" i="5" s="1"/>
  <c r="AD76" i="5" s="1"/>
  <c r="O76" i="5"/>
  <c r="P76" i="5" s="1"/>
  <c r="N76" i="4"/>
  <c r="AF75" i="4"/>
  <c r="AG75" i="4" s="1"/>
  <c r="AH75" i="4" s="1"/>
  <c r="AB75" i="4"/>
  <c r="AC75" i="4" s="1"/>
  <c r="AD75" i="4" s="1"/>
  <c r="R75" i="4"/>
  <c r="T75" i="4" s="1"/>
  <c r="O75" i="4"/>
  <c r="P75" i="4" s="1"/>
  <c r="U74" i="4"/>
  <c r="S74" i="4"/>
  <c r="O91" i="1"/>
  <c r="P91" i="1" s="1"/>
  <c r="R91" i="1"/>
  <c r="T91" i="1" s="1"/>
  <c r="U91" i="1" s="1"/>
  <c r="AB91" i="1"/>
  <c r="AC91" i="1" s="1"/>
  <c r="AD91" i="1" s="1"/>
  <c r="AF91" i="1"/>
  <c r="AG91" i="1" s="1"/>
  <c r="AH91" i="1" s="1"/>
  <c r="N92" i="1"/>
  <c r="U70" i="1"/>
  <c r="S70" i="1"/>
  <c r="AC70" i="1"/>
  <c r="AD70" i="1" s="1"/>
  <c r="AF71" i="1"/>
  <c r="AG71" i="1" s="1"/>
  <c r="AH71" i="1" s="1"/>
  <c r="AB71" i="1"/>
  <c r="R71" i="1"/>
  <c r="T71" i="1" s="1"/>
  <c r="AF77" i="5" l="1"/>
  <c r="AG77" i="5" s="1"/>
  <c r="AH77" i="5" s="1"/>
  <c r="R77" i="5"/>
  <c r="T77" i="5" s="1"/>
  <c r="N78" i="5"/>
  <c r="AB77" i="5"/>
  <c r="AC77" i="5" s="1"/>
  <c r="AD77" i="5" s="1"/>
  <c r="O77" i="5"/>
  <c r="P77" i="5" s="1"/>
  <c r="U76" i="5"/>
  <c r="S76" i="5"/>
  <c r="S75" i="4"/>
  <c r="U75" i="4"/>
  <c r="AF76" i="4"/>
  <c r="AG76" i="4" s="1"/>
  <c r="AH76" i="4" s="1"/>
  <c r="AB76" i="4"/>
  <c r="AC76" i="4" s="1"/>
  <c r="AD76" i="4" s="1"/>
  <c r="R76" i="4"/>
  <c r="T76" i="4" s="1"/>
  <c r="N77" i="4"/>
  <c r="O76" i="4"/>
  <c r="P76" i="4" s="1"/>
  <c r="AB92" i="1"/>
  <c r="AC92" i="1" s="1"/>
  <c r="AD92" i="1" s="1"/>
  <c r="AF92" i="1"/>
  <c r="AG92" i="1" s="1"/>
  <c r="AH92" i="1" s="1"/>
  <c r="O92" i="1"/>
  <c r="P92" i="1" s="1"/>
  <c r="N93" i="1"/>
  <c r="R92" i="1"/>
  <c r="T92" i="1" s="1"/>
  <c r="U92" i="1" s="1"/>
  <c r="U71" i="1"/>
  <c r="S71" i="1"/>
  <c r="AC71" i="1"/>
  <c r="AD71" i="1" s="1"/>
  <c r="AF72" i="1"/>
  <c r="AG72" i="1" s="1"/>
  <c r="AH72" i="1" s="1"/>
  <c r="AB72" i="1"/>
  <c r="R72" i="1"/>
  <c r="T72" i="1" s="1"/>
  <c r="AB78" i="5" l="1"/>
  <c r="AC78" i="5" s="1"/>
  <c r="AD78" i="5" s="1"/>
  <c r="AF78" i="5"/>
  <c r="AG78" i="5" s="1"/>
  <c r="AH78" i="5" s="1"/>
  <c r="O78" i="5"/>
  <c r="P78" i="5" s="1"/>
  <c r="N79" i="5"/>
  <c r="R78" i="5"/>
  <c r="T78" i="5" s="1"/>
  <c r="U77" i="5"/>
  <c r="S77" i="5"/>
  <c r="AF77" i="4"/>
  <c r="AG77" i="4" s="1"/>
  <c r="AH77" i="4" s="1"/>
  <c r="AB77" i="4"/>
  <c r="AC77" i="4" s="1"/>
  <c r="AD77" i="4" s="1"/>
  <c r="R77" i="4"/>
  <c r="T77" i="4" s="1"/>
  <c r="N78" i="4"/>
  <c r="O77" i="4"/>
  <c r="P77" i="4" s="1"/>
  <c r="U76" i="4"/>
  <c r="S76" i="4"/>
  <c r="R93" i="1"/>
  <c r="T93" i="1" s="1"/>
  <c r="U93" i="1" s="1"/>
  <c r="AB93" i="1"/>
  <c r="AC93" i="1" s="1"/>
  <c r="AD93" i="1" s="1"/>
  <c r="AF93" i="1"/>
  <c r="AG93" i="1" s="1"/>
  <c r="AH93" i="1" s="1"/>
  <c r="O93" i="1"/>
  <c r="P93" i="1" s="1"/>
  <c r="N94" i="1"/>
  <c r="U72" i="1"/>
  <c r="S72" i="1"/>
  <c r="AC72" i="1"/>
  <c r="AD72" i="1" s="1"/>
  <c r="AF73" i="1"/>
  <c r="AG73" i="1" s="1"/>
  <c r="AH73" i="1" s="1"/>
  <c r="AB73" i="1"/>
  <c r="R73" i="1"/>
  <c r="T73" i="1" s="1"/>
  <c r="U78" i="5" l="1"/>
  <c r="S78" i="5"/>
  <c r="N80" i="5"/>
  <c r="AB79" i="5"/>
  <c r="AC79" i="5" s="1"/>
  <c r="AD79" i="5" s="1"/>
  <c r="R79" i="5"/>
  <c r="T79" i="5" s="1"/>
  <c r="AF79" i="5"/>
  <c r="AG79" i="5" s="1"/>
  <c r="AH79" i="5" s="1"/>
  <c r="O79" i="5"/>
  <c r="P79" i="5" s="1"/>
  <c r="N79" i="4"/>
  <c r="R78" i="4"/>
  <c r="T78" i="4" s="1"/>
  <c r="AB78" i="4"/>
  <c r="AC78" i="4" s="1"/>
  <c r="AD78" i="4" s="1"/>
  <c r="AF78" i="4"/>
  <c r="AG78" i="4" s="1"/>
  <c r="AH78" i="4" s="1"/>
  <c r="O78" i="4"/>
  <c r="P78" i="4" s="1"/>
  <c r="U77" i="4"/>
  <c r="S77" i="4"/>
  <c r="AF94" i="1"/>
  <c r="AG94" i="1" s="1"/>
  <c r="AH94" i="1" s="1"/>
  <c r="R94" i="1"/>
  <c r="T94" i="1" s="1"/>
  <c r="U94" i="1" s="1"/>
  <c r="O94" i="1"/>
  <c r="P94" i="1" s="1"/>
  <c r="N95" i="1"/>
  <c r="AB94" i="1"/>
  <c r="AC94" i="1" s="1"/>
  <c r="AD94" i="1" s="1"/>
  <c r="U73" i="1"/>
  <c r="S73" i="1"/>
  <c r="AC73" i="1"/>
  <c r="AD73" i="1" s="1"/>
  <c r="AF74" i="1"/>
  <c r="AG74" i="1" s="1"/>
  <c r="AH74" i="1" s="1"/>
  <c r="AB74" i="1"/>
  <c r="R74" i="1"/>
  <c r="T74" i="1" s="1"/>
  <c r="U79" i="5" l="1"/>
  <c r="S79" i="5"/>
  <c r="AF80" i="5"/>
  <c r="AG80" i="5" s="1"/>
  <c r="AH80" i="5" s="1"/>
  <c r="AB80" i="5"/>
  <c r="AC80" i="5" s="1"/>
  <c r="AD80" i="5" s="1"/>
  <c r="R80" i="5"/>
  <c r="T80" i="5" s="1"/>
  <c r="N81" i="5"/>
  <c r="O80" i="5"/>
  <c r="P80" i="5" s="1"/>
  <c r="U78" i="4"/>
  <c r="S78" i="4"/>
  <c r="AB79" i="4"/>
  <c r="AC79" i="4" s="1"/>
  <c r="AD79" i="4" s="1"/>
  <c r="AF79" i="4"/>
  <c r="AG79" i="4" s="1"/>
  <c r="AH79" i="4" s="1"/>
  <c r="O79" i="4"/>
  <c r="P79" i="4" s="1"/>
  <c r="N80" i="4"/>
  <c r="R79" i="4"/>
  <c r="T79" i="4" s="1"/>
  <c r="AB95" i="1"/>
  <c r="AC95" i="1" s="1"/>
  <c r="AD95" i="1" s="1"/>
  <c r="AF95" i="1"/>
  <c r="AG95" i="1" s="1"/>
  <c r="AH95" i="1" s="1"/>
  <c r="R95" i="1"/>
  <c r="T95" i="1" s="1"/>
  <c r="U95" i="1" s="1"/>
  <c r="N96" i="1"/>
  <c r="O95" i="1"/>
  <c r="P95" i="1" s="1"/>
  <c r="U74" i="1"/>
  <c r="S74" i="1"/>
  <c r="AC74" i="1"/>
  <c r="AD74" i="1" s="1"/>
  <c r="AF75" i="1"/>
  <c r="AG75" i="1" s="1"/>
  <c r="AH75" i="1" s="1"/>
  <c r="AB75" i="1"/>
  <c r="R75" i="1"/>
  <c r="T75" i="1" s="1"/>
  <c r="N82" i="5" l="1"/>
  <c r="AB81" i="5"/>
  <c r="AC81" i="5" s="1"/>
  <c r="AD81" i="5" s="1"/>
  <c r="R81" i="5"/>
  <c r="T81" i="5" s="1"/>
  <c r="AF81" i="5"/>
  <c r="AG81" i="5" s="1"/>
  <c r="AH81" i="5" s="1"/>
  <c r="O81" i="5"/>
  <c r="P81" i="5" s="1"/>
  <c r="U80" i="5"/>
  <c r="S80" i="5"/>
  <c r="S79" i="4"/>
  <c r="U79" i="4"/>
  <c r="AB80" i="4"/>
  <c r="AC80" i="4" s="1"/>
  <c r="AD80" i="4" s="1"/>
  <c r="AF80" i="4"/>
  <c r="AG80" i="4" s="1"/>
  <c r="AH80" i="4" s="1"/>
  <c r="N81" i="4"/>
  <c r="R80" i="4"/>
  <c r="T80" i="4" s="1"/>
  <c r="O80" i="4"/>
  <c r="P80" i="4" s="1"/>
  <c r="R96" i="1"/>
  <c r="T96" i="1" s="1"/>
  <c r="U96" i="1" s="1"/>
  <c r="AB96" i="1"/>
  <c r="AC96" i="1" s="1"/>
  <c r="AD96" i="1" s="1"/>
  <c r="AF96" i="1"/>
  <c r="AG96" i="1" s="1"/>
  <c r="AH96" i="1" s="1"/>
  <c r="O96" i="1"/>
  <c r="P96" i="1" s="1"/>
  <c r="N97" i="1"/>
  <c r="U75" i="1"/>
  <c r="S75" i="1"/>
  <c r="AC75" i="1"/>
  <c r="AD75" i="1" s="1"/>
  <c r="AF76" i="1"/>
  <c r="AG76" i="1" s="1"/>
  <c r="AH76" i="1" s="1"/>
  <c r="AB76" i="1"/>
  <c r="R76" i="1"/>
  <c r="T76" i="1" s="1"/>
  <c r="S81" i="5" l="1"/>
  <c r="U81" i="5"/>
  <c r="R82" i="5"/>
  <c r="T82" i="5" s="1"/>
  <c r="AB82" i="5"/>
  <c r="AC82" i="5" s="1"/>
  <c r="AD82" i="5" s="1"/>
  <c r="AF82" i="5"/>
  <c r="AG82" i="5" s="1"/>
  <c r="AH82" i="5" s="1"/>
  <c r="N83" i="5"/>
  <c r="O82" i="5"/>
  <c r="P82" i="5" s="1"/>
  <c r="AF81" i="4"/>
  <c r="AG81" i="4" s="1"/>
  <c r="AH81" i="4" s="1"/>
  <c r="N82" i="4"/>
  <c r="R81" i="4"/>
  <c r="T81" i="4" s="1"/>
  <c r="AB81" i="4"/>
  <c r="AC81" i="4" s="1"/>
  <c r="AD81" i="4" s="1"/>
  <c r="O81" i="4"/>
  <c r="P81" i="4" s="1"/>
  <c r="S80" i="4"/>
  <c r="U80" i="4"/>
  <c r="AF97" i="1"/>
  <c r="AG97" i="1" s="1"/>
  <c r="AH97" i="1" s="1"/>
  <c r="R97" i="1"/>
  <c r="T97" i="1" s="1"/>
  <c r="U97" i="1" s="1"/>
  <c r="O97" i="1"/>
  <c r="P97" i="1" s="1"/>
  <c r="N98" i="1"/>
  <c r="AB97" i="1"/>
  <c r="AC97" i="1" s="1"/>
  <c r="AD97" i="1" s="1"/>
  <c r="U76" i="1"/>
  <c r="S76" i="1"/>
  <c r="AC76" i="1"/>
  <c r="AD76" i="1" s="1"/>
  <c r="AF77" i="1"/>
  <c r="AG77" i="1" s="1"/>
  <c r="AH77" i="1" s="1"/>
  <c r="AB77" i="1"/>
  <c r="R77" i="1"/>
  <c r="T77" i="1" s="1"/>
  <c r="N84" i="5" l="1"/>
  <c r="R83" i="5"/>
  <c r="T83" i="5" s="1"/>
  <c r="AB83" i="5"/>
  <c r="AC83" i="5" s="1"/>
  <c r="AD83" i="5" s="1"/>
  <c r="AF83" i="5"/>
  <c r="AG83" i="5" s="1"/>
  <c r="AH83" i="5" s="1"/>
  <c r="O83" i="5"/>
  <c r="P83" i="5" s="1"/>
  <c r="S82" i="5"/>
  <c r="U82" i="5"/>
  <c r="U81" i="4"/>
  <c r="S81" i="4"/>
  <c r="N83" i="4"/>
  <c r="AF82" i="4"/>
  <c r="AG82" i="4" s="1"/>
  <c r="AH82" i="4" s="1"/>
  <c r="R82" i="4"/>
  <c r="T82" i="4" s="1"/>
  <c r="O82" i="4"/>
  <c r="P82" i="4" s="1"/>
  <c r="AB82" i="4"/>
  <c r="AC82" i="4" s="1"/>
  <c r="AD82" i="4" s="1"/>
  <c r="R98" i="1"/>
  <c r="T98" i="1" s="1"/>
  <c r="U98" i="1" s="1"/>
  <c r="AB98" i="1"/>
  <c r="AC98" i="1" s="1"/>
  <c r="AD98" i="1" s="1"/>
  <c r="AF98" i="1"/>
  <c r="AG98" i="1" s="1"/>
  <c r="AH98" i="1" s="1"/>
  <c r="N99" i="1"/>
  <c r="O98" i="1"/>
  <c r="P98" i="1" s="1"/>
  <c r="U77" i="1"/>
  <c r="S77" i="1"/>
  <c r="AC77" i="1"/>
  <c r="AD77" i="1" s="1"/>
  <c r="S83" i="5" l="1"/>
  <c r="U83" i="5"/>
  <c r="R84" i="5"/>
  <c r="T84" i="5" s="1"/>
  <c r="N85" i="5"/>
  <c r="AF84" i="5"/>
  <c r="AG84" i="5" s="1"/>
  <c r="AH84" i="5" s="1"/>
  <c r="AB84" i="5"/>
  <c r="AC84" i="5" s="1"/>
  <c r="AD84" i="5" s="1"/>
  <c r="O84" i="5"/>
  <c r="P84" i="5" s="1"/>
  <c r="U82" i="4"/>
  <c r="S82" i="4"/>
  <c r="R83" i="4"/>
  <c r="T83" i="4" s="1"/>
  <c r="N84" i="4"/>
  <c r="AF83" i="4"/>
  <c r="AG83" i="4" s="1"/>
  <c r="AH83" i="4" s="1"/>
  <c r="AB83" i="4"/>
  <c r="AC83" i="4" s="1"/>
  <c r="AD83" i="4" s="1"/>
  <c r="O83" i="4"/>
  <c r="P83" i="4" s="1"/>
  <c r="R99" i="1"/>
  <c r="T99" i="1" s="1"/>
  <c r="U99" i="1" s="1"/>
  <c r="AB99" i="1"/>
  <c r="AC99" i="1" s="1"/>
  <c r="AD99" i="1" s="1"/>
  <c r="AF99" i="1"/>
  <c r="AG99" i="1" s="1"/>
  <c r="AH99" i="1" s="1"/>
  <c r="O99" i="1"/>
  <c r="P99" i="1" s="1"/>
  <c r="N100" i="1"/>
  <c r="AF85" i="5" l="1"/>
  <c r="AG85" i="5" s="1"/>
  <c r="AH85" i="5" s="1"/>
  <c r="AB85" i="5"/>
  <c r="AC85" i="5" s="1"/>
  <c r="AD85" i="5" s="1"/>
  <c r="R85" i="5"/>
  <c r="T85" i="5" s="1"/>
  <c r="N86" i="5"/>
  <c r="O85" i="5"/>
  <c r="P85" i="5" s="1"/>
  <c r="S84" i="5"/>
  <c r="U84" i="5"/>
  <c r="AF84" i="4"/>
  <c r="AG84" i="4" s="1"/>
  <c r="AH84" i="4" s="1"/>
  <c r="N85" i="4"/>
  <c r="R84" i="4"/>
  <c r="T84" i="4" s="1"/>
  <c r="O84" i="4"/>
  <c r="P84" i="4" s="1"/>
  <c r="AB84" i="4"/>
  <c r="AC84" i="4" s="1"/>
  <c r="AD84" i="4" s="1"/>
  <c r="S83" i="4"/>
  <c r="U83" i="4"/>
  <c r="R100" i="1"/>
  <c r="T100" i="1" s="1"/>
  <c r="U100" i="1" s="1"/>
  <c r="AB100" i="1"/>
  <c r="AC100" i="1" s="1"/>
  <c r="AD100" i="1" s="1"/>
  <c r="AF100" i="1"/>
  <c r="AG100" i="1" s="1"/>
  <c r="AH100" i="1" s="1"/>
  <c r="O100" i="1"/>
  <c r="P100" i="1" s="1"/>
  <c r="N101" i="1"/>
  <c r="AF86" i="5" l="1"/>
  <c r="AG86" i="5" s="1"/>
  <c r="AH86" i="5" s="1"/>
  <c r="R86" i="5"/>
  <c r="T86" i="5" s="1"/>
  <c r="U86" i="5" s="1"/>
  <c r="AB86" i="5"/>
  <c r="AC86" i="5" s="1"/>
  <c r="AD86" i="5" s="1"/>
  <c r="N87" i="5"/>
  <c r="O86" i="5"/>
  <c r="P86" i="5" s="1"/>
  <c r="S85" i="5"/>
  <c r="U85" i="5"/>
  <c r="U84" i="4"/>
  <c r="S84" i="4"/>
  <c r="N86" i="4"/>
  <c r="AF85" i="4"/>
  <c r="AG85" i="4" s="1"/>
  <c r="AH85" i="4" s="1"/>
  <c r="R85" i="4"/>
  <c r="T85" i="4" s="1"/>
  <c r="AB85" i="4"/>
  <c r="AC85" i="4" s="1"/>
  <c r="AD85" i="4" s="1"/>
  <c r="O85" i="4"/>
  <c r="P85" i="4" s="1"/>
  <c r="R101" i="1"/>
  <c r="T101" i="1" s="1"/>
  <c r="U101" i="1" s="1"/>
  <c r="O101" i="1"/>
  <c r="P101" i="1" s="1"/>
  <c r="AB101" i="1"/>
  <c r="AC101" i="1" s="1"/>
  <c r="AD101" i="1" s="1"/>
  <c r="AF101" i="1"/>
  <c r="AG101" i="1" s="1"/>
  <c r="AH101" i="1" s="1"/>
  <c r="N102" i="1"/>
  <c r="R87" i="5" l="1"/>
  <c r="T87" i="5" s="1"/>
  <c r="U87" i="5" s="1"/>
  <c r="AB87" i="5"/>
  <c r="AC87" i="5" s="1"/>
  <c r="AD87" i="5" s="1"/>
  <c r="N88" i="5"/>
  <c r="AF87" i="5"/>
  <c r="AG87" i="5" s="1"/>
  <c r="AH87" i="5" s="1"/>
  <c r="O87" i="5"/>
  <c r="P87" i="5" s="1"/>
  <c r="U85" i="4"/>
  <c r="S85" i="4"/>
  <c r="AF86" i="4"/>
  <c r="AG86" i="4" s="1"/>
  <c r="AH86" i="4" s="1"/>
  <c r="N87" i="4"/>
  <c r="R86" i="4"/>
  <c r="T86" i="4" s="1"/>
  <c r="U86" i="4" s="1"/>
  <c r="AB86" i="4"/>
  <c r="AC86" i="4" s="1"/>
  <c r="AD86" i="4" s="1"/>
  <c r="O86" i="4"/>
  <c r="P86" i="4" s="1"/>
  <c r="R102" i="1"/>
  <c r="T102" i="1" s="1"/>
  <c r="U102" i="1" s="1"/>
  <c r="AB102" i="1"/>
  <c r="AC102" i="1" s="1"/>
  <c r="AD102" i="1" s="1"/>
  <c r="AF102" i="1"/>
  <c r="AG102" i="1" s="1"/>
  <c r="AH102" i="1" s="1"/>
  <c r="O102" i="1"/>
  <c r="P102" i="1" s="1"/>
  <c r="N103" i="1"/>
  <c r="N89" i="5" l="1"/>
  <c r="AF88" i="5"/>
  <c r="AG88" i="5" s="1"/>
  <c r="AH88" i="5" s="1"/>
  <c r="AB88" i="5"/>
  <c r="AC88" i="5" s="1"/>
  <c r="AD88" i="5" s="1"/>
  <c r="R88" i="5"/>
  <c r="T88" i="5" s="1"/>
  <c r="U88" i="5" s="1"/>
  <c r="O88" i="5"/>
  <c r="P88" i="5" s="1"/>
  <c r="R87" i="4"/>
  <c r="T87" i="4" s="1"/>
  <c r="U87" i="4" s="1"/>
  <c r="AB87" i="4"/>
  <c r="AC87" i="4" s="1"/>
  <c r="AD87" i="4" s="1"/>
  <c r="N88" i="4"/>
  <c r="AF87" i="4"/>
  <c r="AG87" i="4" s="1"/>
  <c r="AH87" i="4" s="1"/>
  <c r="P87" i="4"/>
  <c r="R103" i="1"/>
  <c r="T103" i="1" s="1"/>
  <c r="U103" i="1" s="1"/>
  <c r="AB103" i="1"/>
  <c r="AC103" i="1" s="1"/>
  <c r="AD103" i="1" s="1"/>
  <c r="AF103" i="1"/>
  <c r="AG103" i="1" s="1"/>
  <c r="AH103" i="1" s="1"/>
  <c r="O103" i="1"/>
  <c r="P103" i="1" s="1"/>
  <c r="N104" i="1"/>
  <c r="AB89" i="5" l="1"/>
  <c r="AC89" i="5" s="1"/>
  <c r="AD89" i="5" s="1"/>
  <c r="R89" i="5"/>
  <c r="T89" i="5" s="1"/>
  <c r="U89" i="5" s="1"/>
  <c r="N90" i="5"/>
  <c r="AF89" i="5"/>
  <c r="AG89" i="5" s="1"/>
  <c r="AH89" i="5" s="1"/>
  <c r="O89" i="5"/>
  <c r="P89" i="5" s="1"/>
  <c r="AF88" i="4"/>
  <c r="AG88" i="4" s="1"/>
  <c r="AH88" i="4" s="1"/>
  <c r="R88" i="4"/>
  <c r="T88" i="4" s="1"/>
  <c r="U88" i="4" s="1"/>
  <c r="O88" i="4"/>
  <c r="P88" i="4" s="1"/>
  <c r="N89" i="4"/>
  <c r="AB88" i="4"/>
  <c r="AC88" i="4" s="1"/>
  <c r="AD88" i="4" s="1"/>
  <c r="AB104" i="1"/>
  <c r="AC104" i="1" s="1"/>
  <c r="AD104" i="1" s="1"/>
  <c r="AF104" i="1"/>
  <c r="AG104" i="1" s="1"/>
  <c r="AH104" i="1" s="1"/>
  <c r="N105" i="1"/>
  <c r="O104" i="1"/>
  <c r="P104" i="1" s="1"/>
  <c r="R104" i="1"/>
  <c r="T104" i="1" s="1"/>
  <c r="U104" i="1" s="1"/>
  <c r="R90" i="5" l="1"/>
  <c r="T90" i="5" s="1"/>
  <c r="U90" i="5" s="1"/>
  <c r="AF90" i="5"/>
  <c r="AG90" i="5" s="1"/>
  <c r="AH90" i="5" s="1"/>
  <c r="AB90" i="5"/>
  <c r="AC90" i="5" s="1"/>
  <c r="AD90" i="5" s="1"/>
  <c r="N91" i="5"/>
  <c r="O90" i="5"/>
  <c r="P90" i="5" s="1"/>
  <c r="N90" i="4"/>
  <c r="AB89" i="4"/>
  <c r="AC89" i="4" s="1"/>
  <c r="AD89" i="4" s="1"/>
  <c r="R89" i="4"/>
  <c r="T89" i="4" s="1"/>
  <c r="U89" i="4" s="1"/>
  <c r="AF89" i="4"/>
  <c r="AG89" i="4" s="1"/>
  <c r="AH89" i="4" s="1"/>
  <c r="O89" i="4"/>
  <c r="P89" i="4" s="1"/>
  <c r="R105" i="1"/>
  <c r="T105" i="1" s="1"/>
  <c r="U105" i="1" s="1"/>
  <c r="AB105" i="1"/>
  <c r="AC105" i="1" s="1"/>
  <c r="AD105" i="1" s="1"/>
  <c r="AF105" i="1"/>
  <c r="AG105" i="1" s="1"/>
  <c r="AH105" i="1" s="1"/>
  <c r="O105" i="1"/>
  <c r="P105" i="1" s="1"/>
  <c r="N106" i="1"/>
  <c r="AF91" i="5" l="1"/>
  <c r="AG91" i="5" s="1"/>
  <c r="AH91" i="5" s="1"/>
  <c r="AB91" i="5"/>
  <c r="AC91" i="5" s="1"/>
  <c r="AD91" i="5" s="1"/>
  <c r="N92" i="5"/>
  <c r="R91" i="5"/>
  <c r="T91" i="5" s="1"/>
  <c r="U91" i="5" s="1"/>
  <c r="O91" i="5"/>
  <c r="P91" i="5" s="1"/>
  <c r="N91" i="4"/>
  <c r="AF90" i="4"/>
  <c r="AG90" i="4" s="1"/>
  <c r="AH90" i="4" s="1"/>
  <c r="AB90" i="4"/>
  <c r="AC90" i="4" s="1"/>
  <c r="AD90" i="4" s="1"/>
  <c r="R90" i="4"/>
  <c r="T90" i="4" s="1"/>
  <c r="U90" i="4" s="1"/>
  <c r="O90" i="4"/>
  <c r="P90" i="4" s="1"/>
  <c r="R106" i="1"/>
  <c r="T106" i="1" s="1"/>
  <c r="U106" i="1" s="1"/>
  <c r="AB106" i="1"/>
  <c r="AC106" i="1" s="1"/>
  <c r="AD106" i="1" s="1"/>
  <c r="AF106" i="1"/>
  <c r="AG106" i="1" s="1"/>
  <c r="AH106" i="1" s="1"/>
  <c r="O106" i="1"/>
  <c r="P106" i="1" s="1"/>
  <c r="N107" i="1"/>
  <c r="R92" i="5" l="1"/>
  <c r="T92" i="5" s="1"/>
  <c r="U92" i="5" s="1"/>
  <c r="AB92" i="5"/>
  <c r="AC92" i="5" s="1"/>
  <c r="AD92" i="5" s="1"/>
  <c r="AF92" i="5"/>
  <c r="AG92" i="5" s="1"/>
  <c r="AH92" i="5" s="1"/>
  <c r="N93" i="5"/>
  <c r="O92" i="5"/>
  <c r="P92" i="5" s="1"/>
  <c r="AF91" i="4"/>
  <c r="AG91" i="4" s="1"/>
  <c r="AH91" i="4" s="1"/>
  <c r="N92" i="4"/>
  <c r="R91" i="4"/>
  <c r="T91" i="4" s="1"/>
  <c r="U91" i="4" s="1"/>
  <c r="AB91" i="4"/>
  <c r="AC91" i="4" s="1"/>
  <c r="AD91" i="4" s="1"/>
  <c r="O91" i="4"/>
  <c r="P91" i="4" s="1"/>
  <c r="AF107" i="1"/>
  <c r="AG107" i="1" s="1"/>
  <c r="AH107" i="1" s="1"/>
  <c r="N108" i="1"/>
  <c r="O107" i="1"/>
  <c r="P107" i="1" s="1"/>
  <c r="R107" i="1"/>
  <c r="T107" i="1" s="1"/>
  <c r="U107" i="1" s="1"/>
  <c r="AB107" i="1"/>
  <c r="AC107" i="1" s="1"/>
  <c r="AD107" i="1" s="1"/>
  <c r="N94" i="5" l="1"/>
  <c r="R93" i="5"/>
  <c r="T93" i="5" s="1"/>
  <c r="U93" i="5" s="1"/>
  <c r="AB93" i="5"/>
  <c r="AC93" i="5" s="1"/>
  <c r="AD93" i="5" s="1"/>
  <c r="AF93" i="5"/>
  <c r="AG93" i="5" s="1"/>
  <c r="AH93" i="5" s="1"/>
  <c r="O93" i="5"/>
  <c r="P93" i="5" s="1"/>
  <c r="R92" i="4"/>
  <c r="T92" i="4" s="1"/>
  <c r="U92" i="4" s="1"/>
  <c r="N93" i="4"/>
  <c r="O92" i="4"/>
  <c r="P92" i="4" s="1"/>
  <c r="AB92" i="4"/>
  <c r="AC92" i="4" s="1"/>
  <c r="AD92" i="4" s="1"/>
  <c r="AF92" i="4"/>
  <c r="AG92" i="4" s="1"/>
  <c r="AH92" i="4" s="1"/>
  <c r="AF108" i="1"/>
  <c r="AG108" i="1" s="1"/>
  <c r="AH108" i="1" s="1"/>
  <c r="O108" i="1"/>
  <c r="P108" i="1" s="1"/>
  <c r="N109" i="1"/>
  <c r="R108" i="1"/>
  <c r="T108" i="1" s="1"/>
  <c r="U108" i="1" s="1"/>
  <c r="AB108" i="1"/>
  <c r="AC108" i="1" s="1"/>
  <c r="AD108" i="1" s="1"/>
  <c r="AF94" i="5" l="1"/>
  <c r="AG94" i="5" s="1"/>
  <c r="AH94" i="5" s="1"/>
  <c r="O94" i="5"/>
  <c r="P94" i="5" s="1"/>
  <c r="N95" i="5"/>
  <c r="R94" i="5"/>
  <c r="T94" i="5" s="1"/>
  <c r="U94" i="5" s="1"/>
  <c r="AB94" i="5"/>
  <c r="AC94" i="5" s="1"/>
  <c r="AD94" i="5" s="1"/>
  <c r="O93" i="4"/>
  <c r="P93" i="4" s="1"/>
  <c r="AB93" i="4"/>
  <c r="AC93" i="4" s="1"/>
  <c r="AD93" i="4" s="1"/>
  <c r="AF93" i="4"/>
  <c r="AG93" i="4" s="1"/>
  <c r="AH93" i="4" s="1"/>
  <c r="N94" i="4"/>
  <c r="R93" i="4"/>
  <c r="T93" i="4" s="1"/>
  <c r="U93" i="4" s="1"/>
  <c r="AF109" i="1"/>
  <c r="AG109" i="1" s="1"/>
  <c r="AH109" i="1" s="1"/>
  <c r="N110" i="1"/>
  <c r="O109" i="1"/>
  <c r="P109" i="1" s="1"/>
  <c r="R109" i="1"/>
  <c r="T109" i="1" s="1"/>
  <c r="U109" i="1" s="1"/>
  <c r="AB109" i="1"/>
  <c r="AC109" i="1" s="1"/>
  <c r="AD109" i="1" s="1"/>
  <c r="R95" i="5" l="1"/>
  <c r="T95" i="5" s="1"/>
  <c r="U95" i="5" s="1"/>
  <c r="O95" i="5"/>
  <c r="P95" i="5" s="1"/>
  <c r="AF95" i="5"/>
  <c r="AG95" i="5" s="1"/>
  <c r="AH95" i="5" s="1"/>
  <c r="N96" i="5"/>
  <c r="AB95" i="5"/>
  <c r="AC95" i="5" s="1"/>
  <c r="AD95" i="5" s="1"/>
  <c r="R94" i="4"/>
  <c r="T94" i="4" s="1"/>
  <c r="U94" i="4" s="1"/>
  <c r="AB94" i="4"/>
  <c r="AC94" i="4" s="1"/>
  <c r="AD94" i="4" s="1"/>
  <c r="N95" i="4"/>
  <c r="O94" i="4"/>
  <c r="P94" i="4" s="1"/>
  <c r="AF94" i="4"/>
  <c r="AG94" i="4" s="1"/>
  <c r="AH94" i="4" s="1"/>
  <c r="AF110" i="1"/>
  <c r="AG110" i="1" s="1"/>
  <c r="AH110" i="1" s="1"/>
  <c r="O110" i="1"/>
  <c r="P110" i="1" s="1"/>
  <c r="N111" i="1"/>
  <c r="R110" i="1"/>
  <c r="T110" i="1" s="1"/>
  <c r="U110" i="1" s="1"/>
  <c r="AB110" i="1"/>
  <c r="AC110" i="1" s="1"/>
  <c r="AD110" i="1" s="1"/>
  <c r="AF96" i="5" l="1"/>
  <c r="AG96" i="5" s="1"/>
  <c r="AH96" i="5" s="1"/>
  <c r="AB96" i="5"/>
  <c r="AC96" i="5" s="1"/>
  <c r="AD96" i="5" s="1"/>
  <c r="R96" i="5"/>
  <c r="T96" i="5" s="1"/>
  <c r="U96" i="5" s="1"/>
  <c r="N97" i="5"/>
  <c r="O96" i="5"/>
  <c r="P96" i="5" s="1"/>
  <c r="R95" i="4"/>
  <c r="T95" i="4" s="1"/>
  <c r="U95" i="4" s="1"/>
  <c r="O95" i="4"/>
  <c r="P95" i="4" s="1"/>
  <c r="AF95" i="4"/>
  <c r="AG95" i="4" s="1"/>
  <c r="AH95" i="4" s="1"/>
  <c r="N96" i="4"/>
  <c r="AB95" i="4"/>
  <c r="AC95" i="4" s="1"/>
  <c r="AD95" i="4" s="1"/>
  <c r="AF111" i="1"/>
  <c r="AG111" i="1" s="1"/>
  <c r="AH111" i="1" s="1"/>
  <c r="O111" i="1"/>
  <c r="P111" i="1" s="1"/>
  <c r="N112" i="1"/>
  <c r="R111" i="1"/>
  <c r="T111" i="1" s="1"/>
  <c r="U111" i="1" s="1"/>
  <c r="AB111" i="1"/>
  <c r="AC111" i="1" s="1"/>
  <c r="AD111" i="1" s="1"/>
  <c r="N98" i="5" l="1"/>
  <c r="R97" i="5"/>
  <c r="T97" i="5" s="1"/>
  <c r="U97" i="5" s="1"/>
  <c r="AF97" i="5"/>
  <c r="AG97" i="5" s="1"/>
  <c r="AH97" i="5" s="1"/>
  <c r="AB97" i="5"/>
  <c r="AC97" i="5" s="1"/>
  <c r="AD97" i="5" s="1"/>
  <c r="O97" i="5"/>
  <c r="P97" i="5" s="1"/>
  <c r="AF96" i="4"/>
  <c r="AG96" i="4" s="1"/>
  <c r="AH96" i="4" s="1"/>
  <c r="AB96" i="4"/>
  <c r="AC96" i="4" s="1"/>
  <c r="AD96" i="4" s="1"/>
  <c r="N97" i="4"/>
  <c r="O96" i="4"/>
  <c r="P96" i="4" s="1"/>
  <c r="R96" i="4"/>
  <c r="T96" i="4" s="1"/>
  <c r="U96" i="4" s="1"/>
  <c r="AF112" i="1"/>
  <c r="AG112" i="1" s="1"/>
  <c r="AH112" i="1" s="1"/>
  <c r="O112" i="1"/>
  <c r="P112" i="1" s="1"/>
  <c r="N113" i="1"/>
  <c r="R112" i="1"/>
  <c r="T112" i="1" s="1"/>
  <c r="U112" i="1" s="1"/>
  <c r="AB112" i="1"/>
  <c r="AC112" i="1" s="1"/>
  <c r="AD112" i="1" s="1"/>
  <c r="AF98" i="5" l="1"/>
  <c r="AG98" i="5" s="1"/>
  <c r="AH98" i="5" s="1"/>
  <c r="N99" i="5"/>
  <c r="AB98" i="5"/>
  <c r="AC98" i="5" s="1"/>
  <c r="AD98" i="5" s="1"/>
  <c r="R98" i="5"/>
  <c r="T98" i="5" s="1"/>
  <c r="U98" i="5" s="1"/>
  <c r="O98" i="5"/>
  <c r="P98" i="5" s="1"/>
  <c r="AB97" i="4"/>
  <c r="AC97" i="4" s="1"/>
  <c r="AD97" i="4" s="1"/>
  <c r="AF97" i="4"/>
  <c r="AG97" i="4" s="1"/>
  <c r="AH97" i="4" s="1"/>
  <c r="R97" i="4"/>
  <c r="T97" i="4" s="1"/>
  <c r="U97" i="4" s="1"/>
  <c r="O97" i="4"/>
  <c r="P97" i="4" s="1"/>
  <c r="AF113" i="1"/>
  <c r="AG113" i="1" s="1"/>
  <c r="AH113" i="1" s="1"/>
  <c r="N114" i="1"/>
  <c r="O113" i="1"/>
  <c r="P113" i="1" s="1"/>
  <c r="R113" i="1"/>
  <c r="T113" i="1" s="1"/>
  <c r="U113" i="1" s="1"/>
  <c r="AB113" i="1"/>
  <c r="AC113" i="1" s="1"/>
  <c r="AD113" i="1" s="1"/>
  <c r="AF99" i="5" l="1"/>
  <c r="AG99" i="5" s="1"/>
  <c r="AH99" i="5" s="1"/>
  <c r="AB99" i="5"/>
  <c r="AC99" i="5" s="1"/>
  <c r="AD99" i="5" s="1"/>
  <c r="N100" i="5"/>
  <c r="R99" i="5"/>
  <c r="T99" i="5" s="1"/>
  <c r="U99" i="5" s="1"/>
  <c r="O99" i="5"/>
  <c r="P99" i="5" s="1"/>
  <c r="AB98" i="4"/>
  <c r="AC98" i="4" s="1"/>
  <c r="AD98" i="4" s="1"/>
  <c r="N99" i="4"/>
  <c r="R98" i="4"/>
  <c r="T98" i="4" s="1"/>
  <c r="U98" i="4" s="1"/>
  <c r="AF98" i="4"/>
  <c r="AG98" i="4" s="1"/>
  <c r="AH98" i="4" s="1"/>
  <c r="O98" i="4"/>
  <c r="P98" i="4" s="1"/>
  <c r="AF114" i="1"/>
  <c r="AG114" i="1" s="1"/>
  <c r="AH114" i="1" s="1"/>
  <c r="O114" i="1"/>
  <c r="P114" i="1" s="1"/>
  <c r="N115" i="1"/>
  <c r="R114" i="1"/>
  <c r="T114" i="1" s="1"/>
  <c r="U114" i="1" s="1"/>
  <c r="AB114" i="1"/>
  <c r="AC114" i="1" s="1"/>
  <c r="AD114" i="1" s="1"/>
  <c r="AF100" i="5" l="1"/>
  <c r="AG100" i="5" s="1"/>
  <c r="AH100" i="5" s="1"/>
  <c r="AB100" i="5"/>
  <c r="AC100" i="5" s="1"/>
  <c r="AD100" i="5" s="1"/>
  <c r="N101" i="5"/>
  <c r="R100" i="5"/>
  <c r="T100" i="5" s="1"/>
  <c r="U100" i="5" s="1"/>
  <c r="O100" i="5"/>
  <c r="P100" i="5" s="1"/>
  <c r="N100" i="4"/>
  <c r="R99" i="4"/>
  <c r="T99" i="4" s="1"/>
  <c r="U99" i="4" s="1"/>
  <c r="AB99" i="4"/>
  <c r="AC99" i="4" s="1"/>
  <c r="AD99" i="4" s="1"/>
  <c r="AF99" i="4"/>
  <c r="AG99" i="4" s="1"/>
  <c r="AH99" i="4" s="1"/>
  <c r="O99" i="4"/>
  <c r="P99" i="4" s="1"/>
  <c r="O115" i="1"/>
  <c r="P115" i="1" s="1"/>
  <c r="N116" i="1"/>
  <c r="R115" i="1"/>
  <c r="T115" i="1" s="1"/>
  <c r="U115" i="1" s="1"/>
  <c r="AB115" i="1"/>
  <c r="AC115" i="1" s="1"/>
  <c r="AD115" i="1" s="1"/>
  <c r="AF115" i="1"/>
  <c r="AG115" i="1" s="1"/>
  <c r="AH115" i="1" s="1"/>
  <c r="N102" i="5" l="1"/>
  <c r="R101" i="5"/>
  <c r="T101" i="5" s="1"/>
  <c r="U101" i="5" s="1"/>
  <c r="AF101" i="5"/>
  <c r="AG101" i="5" s="1"/>
  <c r="AH101" i="5" s="1"/>
  <c r="AB101" i="5"/>
  <c r="AC101" i="5" s="1"/>
  <c r="AD101" i="5" s="1"/>
  <c r="O101" i="5"/>
  <c r="P101" i="5" s="1"/>
  <c r="AF100" i="4"/>
  <c r="AG100" i="4" s="1"/>
  <c r="AH100" i="4" s="1"/>
  <c r="N101" i="4"/>
  <c r="AB100" i="4"/>
  <c r="AC100" i="4" s="1"/>
  <c r="AD100" i="4" s="1"/>
  <c r="R100" i="4"/>
  <c r="T100" i="4" s="1"/>
  <c r="U100" i="4" s="1"/>
  <c r="O100" i="4"/>
  <c r="P100" i="4" s="1"/>
  <c r="AF116" i="1"/>
  <c r="AG116" i="1" s="1"/>
  <c r="AH116" i="1" s="1"/>
  <c r="O116" i="1"/>
  <c r="P116" i="1" s="1"/>
  <c r="N117" i="1"/>
  <c r="R116" i="1"/>
  <c r="T116" i="1" s="1"/>
  <c r="U116" i="1" s="1"/>
  <c r="AB116" i="1"/>
  <c r="AC116" i="1" s="1"/>
  <c r="AD116" i="1" s="1"/>
  <c r="AF102" i="5" l="1"/>
  <c r="AG102" i="5" s="1"/>
  <c r="AH102" i="5" s="1"/>
  <c r="N103" i="5"/>
  <c r="R102" i="5"/>
  <c r="T102" i="5" s="1"/>
  <c r="U102" i="5" s="1"/>
  <c r="AB102" i="5"/>
  <c r="AC102" i="5" s="1"/>
  <c r="AD102" i="5" s="1"/>
  <c r="O102" i="5"/>
  <c r="P102" i="5" s="1"/>
  <c r="AB101" i="4"/>
  <c r="AC101" i="4" s="1"/>
  <c r="AD101" i="4" s="1"/>
  <c r="R101" i="4"/>
  <c r="T101" i="4" s="1"/>
  <c r="U101" i="4" s="1"/>
  <c r="AF101" i="4"/>
  <c r="AG101" i="4" s="1"/>
  <c r="AH101" i="4" s="1"/>
  <c r="N102" i="4"/>
  <c r="O101" i="4"/>
  <c r="P101" i="4" s="1"/>
  <c r="O117" i="1"/>
  <c r="P117" i="1" s="1"/>
  <c r="N118" i="1"/>
  <c r="R117" i="1"/>
  <c r="T117" i="1" s="1"/>
  <c r="U117" i="1" s="1"/>
  <c r="AB117" i="1"/>
  <c r="AC117" i="1" s="1"/>
  <c r="AD117" i="1" s="1"/>
  <c r="AF117" i="1"/>
  <c r="AG117" i="1" s="1"/>
  <c r="AH117" i="1" s="1"/>
  <c r="AF103" i="5" l="1"/>
  <c r="AG103" i="5" s="1"/>
  <c r="AH103" i="5" s="1"/>
  <c r="N104" i="5"/>
  <c r="AB103" i="5"/>
  <c r="AC103" i="5" s="1"/>
  <c r="AD103" i="5" s="1"/>
  <c r="R103" i="5"/>
  <c r="T103" i="5" s="1"/>
  <c r="U103" i="5" s="1"/>
  <c r="O103" i="5"/>
  <c r="P103" i="5" s="1"/>
  <c r="AB102" i="4"/>
  <c r="AC102" i="4" s="1"/>
  <c r="AD102" i="4" s="1"/>
  <c r="N103" i="4"/>
  <c r="AF102" i="4"/>
  <c r="AG102" i="4" s="1"/>
  <c r="AH102" i="4" s="1"/>
  <c r="R102" i="4"/>
  <c r="T102" i="4" s="1"/>
  <c r="U102" i="4" s="1"/>
  <c r="O102" i="4"/>
  <c r="P102" i="4" s="1"/>
  <c r="O118" i="1"/>
  <c r="P118" i="1" s="1"/>
  <c r="R118" i="1"/>
  <c r="T118" i="1" s="1"/>
  <c r="U118" i="1" s="1"/>
  <c r="AB118" i="1"/>
  <c r="AC118" i="1" s="1"/>
  <c r="AD118" i="1" s="1"/>
  <c r="AF118" i="1"/>
  <c r="AG118" i="1" s="1"/>
  <c r="AH118" i="1" s="1"/>
  <c r="AF104" i="5" l="1"/>
  <c r="AG104" i="5" s="1"/>
  <c r="AH104" i="5" s="1"/>
  <c r="AB104" i="5"/>
  <c r="AC104" i="5" s="1"/>
  <c r="AD104" i="5" s="1"/>
  <c r="N105" i="5"/>
  <c r="R104" i="5"/>
  <c r="T104" i="5" s="1"/>
  <c r="U104" i="5" s="1"/>
  <c r="O104" i="5"/>
  <c r="P104" i="5" s="1"/>
  <c r="N104" i="4"/>
  <c r="AF103" i="4"/>
  <c r="AG103" i="4" s="1"/>
  <c r="AH103" i="4" s="1"/>
  <c r="AB103" i="4"/>
  <c r="AC103" i="4" s="1"/>
  <c r="AD103" i="4" s="1"/>
  <c r="R103" i="4"/>
  <c r="T103" i="4" s="1"/>
  <c r="U103" i="4" s="1"/>
  <c r="O103" i="4"/>
  <c r="P103" i="4" s="1"/>
  <c r="N106" i="5" l="1"/>
  <c r="AF105" i="5"/>
  <c r="AG105" i="5" s="1"/>
  <c r="AH105" i="5" s="1"/>
  <c r="AB105" i="5"/>
  <c r="AC105" i="5" s="1"/>
  <c r="AD105" i="5" s="1"/>
  <c r="O105" i="5"/>
  <c r="P105" i="5" s="1"/>
  <c r="R105" i="5"/>
  <c r="T105" i="5" s="1"/>
  <c r="U105" i="5" s="1"/>
  <c r="AF104" i="4"/>
  <c r="AG104" i="4" s="1"/>
  <c r="AH104" i="4" s="1"/>
  <c r="N105" i="4"/>
  <c r="R104" i="4"/>
  <c r="T104" i="4" s="1"/>
  <c r="U104" i="4" s="1"/>
  <c r="AB104" i="4"/>
  <c r="AC104" i="4" s="1"/>
  <c r="AD104" i="4" s="1"/>
  <c r="O104" i="4"/>
  <c r="P104" i="4" s="1"/>
  <c r="AF106" i="5" l="1"/>
  <c r="AG106" i="5" s="1"/>
  <c r="AH106" i="5" s="1"/>
  <c r="R106" i="5"/>
  <c r="T106" i="5" s="1"/>
  <c r="U106" i="5" s="1"/>
  <c r="AB106" i="5"/>
  <c r="AC106" i="5" s="1"/>
  <c r="AD106" i="5" s="1"/>
  <c r="N107" i="5"/>
  <c r="O106" i="5"/>
  <c r="P106" i="5" s="1"/>
  <c r="AF105" i="4"/>
  <c r="AG105" i="4" s="1"/>
  <c r="AH105" i="4" s="1"/>
  <c r="N106" i="4"/>
  <c r="R105" i="4"/>
  <c r="T105" i="4" s="1"/>
  <c r="U105" i="4" s="1"/>
  <c r="AB105" i="4"/>
  <c r="AC105" i="4" s="1"/>
  <c r="AD105" i="4" s="1"/>
  <c r="O105" i="4"/>
  <c r="P105" i="4" s="1"/>
  <c r="N108" i="5" l="1"/>
  <c r="AF107" i="5"/>
  <c r="AG107" i="5" s="1"/>
  <c r="AH107" i="5" s="1"/>
  <c r="O107" i="5"/>
  <c r="P107" i="5" s="1"/>
  <c r="AB107" i="5"/>
  <c r="AC107" i="5" s="1"/>
  <c r="AD107" i="5" s="1"/>
  <c r="R107" i="5"/>
  <c r="T107" i="5" s="1"/>
  <c r="U107" i="5" s="1"/>
  <c r="AB106" i="4"/>
  <c r="AC106" i="4" s="1"/>
  <c r="AD106" i="4" s="1"/>
  <c r="R106" i="4"/>
  <c r="T106" i="4" s="1"/>
  <c r="U106" i="4" s="1"/>
  <c r="AF106" i="4"/>
  <c r="AG106" i="4" s="1"/>
  <c r="AH106" i="4" s="1"/>
  <c r="N107" i="4"/>
  <c r="O106" i="4"/>
  <c r="P106" i="4" s="1"/>
  <c r="AF108" i="5" l="1"/>
  <c r="AG108" i="5" s="1"/>
  <c r="AH108" i="5" s="1"/>
  <c r="N109" i="5"/>
  <c r="R108" i="5"/>
  <c r="T108" i="5" s="1"/>
  <c r="U108" i="5" s="1"/>
  <c r="AB108" i="5"/>
  <c r="AC108" i="5" s="1"/>
  <c r="AD108" i="5" s="1"/>
  <c r="O108" i="5"/>
  <c r="P108" i="5" s="1"/>
  <c r="R107" i="4"/>
  <c r="T107" i="4" s="1"/>
  <c r="U107" i="4" s="1"/>
  <c r="N108" i="4"/>
  <c r="AF107" i="4"/>
  <c r="AG107" i="4" s="1"/>
  <c r="AH107" i="4" s="1"/>
  <c r="AB107" i="4"/>
  <c r="AC107" i="4" s="1"/>
  <c r="AD107" i="4" s="1"/>
  <c r="O107" i="4"/>
  <c r="P107" i="4" s="1"/>
  <c r="N110" i="5" l="1"/>
  <c r="R109" i="5"/>
  <c r="T109" i="5" s="1"/>
  <c r="U109" i="5" s="1"/>
  <c r="AF109" i="5"/>
  <c r="AG109" i="5" s="1"/>
  <c r="AH109" i="5" s="1"/>
  <c r="AB109" i="5"/>
  <c r="AC109" i="5" s="1"/>
  <c r="AD109" i="5" s="1"/>
  <c r="O109" i="5"/>
  <c r="P109" i="5" s="1"/>
  <c r="R108" i="4"/>
  <c r="T108" i="4" s="1"/>
  <c r="U108" i="4" s="1"/>
  <c r="N109" i="4"/>
  <c r="AF108" i="4"/>
  <c r="AG108" i="4" s="1"/>
  <c r="AH108" i="4" s="1"/>
  <c r="AB108" i="4"/>
  <c r="AC108" i="4" s="1"/>
  <c r="AD108" i="4" s="1"/>
  <c r="O108" i="4"/>
  <c r="P108" i="4" s="1"/>
  <c r="AF110" i="5" l="1"/>
  <c r="AG110" i="5" s="1"/>
  <c r="AH110" i="5" s="1"/>
  <c r="R110" i="5"/>
  <c r="T110" i="5" s="1"/>
  <c r="U110" i="5" s="1"/>
  <c r="AB110" i="5"/>
  <c r="AC110" i="5" s="1"/>
  <c r="AD110" i="5" s="1"/>
  <c r="N111" i="5"/>
  <c r="O110" i="5"/>
  <c r="P110" i="5" s="1"/>
  <c r="R109" i="4"/>
  <c r="T109" i="4" s="1"/>
  <c r="U109" i="4" s="1"/>
  <c r="N110" i="4"/>
  <c r="O109" i="4"/>
  <c r="P109" i="4" s="1"/>
  <c r="AB109" i="4"/>
  <c r="AC109" i="4" s="1"/>
  <c r="AD109" i="4" s="1"/>
  <c r="AF109" i="4"/>
  <c r="AG109" i="4" s="1"/>
  <c r="AH109" i="4" s="1"/>
  <c r="R111" i="5" l="1"/>
  <c r="T111" i="5" s="1"/>
  <c r="U111" i="5" s="1"/>
  <c r="AF111" i="5"/>
  <c r="AG111" i="5" s="1"/>
  <c r="AH111" i="5" s="1"/>
  <c r="O111" i="5"/>
  <c r="P111" i="5" s="1"/>
  <c r="AB111" i="5"/>
  <c r="AC111" i="5" s="1"/>
  <c r="AD111" i="5" s="1"/>
  <c r="N112" i="5"/>
  <c r="AF110" i="4"/>
  <c r="AG110" i="4" s="1"/>
  <c r="AH110" i="4" s="1"/>
  <c r="AB110" i="4"/>
  <c r="AC110" i="4" s="1"/>
  <c r="AD110" i="4" s="1"/>
  <c r="O110" i="4"/>
  <c r="P110" i="4" s="1"/>
  <c r="N111" i="4"/>
  <c r="R110" i="4"/>
  <c r="T110" i="4" s="1"/>
  <c r="U110" i="4" s="1"/>
  <c r="AF112" i="5" l="1"/>
  <c r="AG112" i="5" s="1"/>
  <c r="AH112" i="5" s="1"/>
  <c r="AB112" i="5"/>
  <c r="AC112" i="5" s="1"/>
  <c r="AD112" i="5" s="1"/>
  <c r="N113" i="5"/>
  <c r="R112" i="5"/>
  <c r="T112" i="5" s="1"/>
  <c r="U112" i="5" s="1"/>
  <c r="O112" i="5"/>
  <c r="P112" i="5" s="1"/>
  <c r="AB111" i="4"/>
  <c r="AC111" i="4" s="1"/>
  <c r="AD111" i="4" s="1"/>
  <c r="R111" i="4"/>
  <c r="T111" i="4" s="1"/>
  <c r="U111" i="4" s="1"/>
  <c r="O111" i="4"/>
  <c r="P111" i="4" s="1"/>
  <c r="AF111" i="4"/>
  <c r="AG111" i="4" s="1"/>
  <c r="AH111" i="4" s="1"/>
  <c r="N112" i="4"/>
  <c r="R113" i="5" l="1"/>
  <c r="T113" i="5" s="1"/>
  <c r="U113" i="5" s="1"/>
  <c r="AB113" i="5"/>
  <c r="AC113" i="5" s="1"/>
  <c r="AD113" i="5" s="1"/>
  <c r="N114" i="5"/>
  <c r="AF113" i="5"/>
  <c r="AG113" i="5" s="1"/>
  <c r="AH113" i="5" s="1"/>
  <c r="O113" i="5"/>
  <c r="P113" i="5" s="1"/>
  <c r="R112" i="4"/>
  <c r="T112" i="4" s="1"/>
  <c r="U112" i="4" s="1"/>
  <c r="AF112" i="4"/>
  <c r="AG112" i="4" s="1"/>
  <c r="AH112" i="4" s="1"/>
  <c r="AB112" i="4"/>
  <c r="AC112" i="4" s="1"/>
  <c r="AD112" i="4" s="1"/>
  <c r="N113" i="4"/>
  <c r="O112" i="4"/>
  <c r="P112" i="4" s="1"/>
  <c r="AF114" i="5" l="1"/>
  <c r="AG114" i="5" s="1"/>
  <c r="AH114" i="5" s="1"/>
  <c r="R114" i="5"/>
  <c r="T114" i="5" s="1"/>
  <c r="U114" i="5" s="1"/>
  <c r="AB114" i="5"/>
  <c r="AC114" i="5" s="1"/>
  <c r="AD114" i="5" s="1"/>
  <c r="N115" i="5"/>
  <c r="O114" i="5"/>
  <c r="P114" i="5" s="1"/>
  <c r="AB113" i="4"/>
  <c r="AC113" i="4" s="1"/>
  <c r="AD113" i="4" s="1"/>
  <c r="N114" i="4"/>
  <c r="R113" i="4"/>
  <c r="T113" i="4" s="1"/>
  <c r="U113" i="4" s="1"/>
  <c r="AF113" i="4"/>
  <c r="AG113" i="4" s="1"/>
  <c r="AH113" i="4" s="1"/>
  <c r="O113" i="4"/>
  <c r="P113" i="4" s="1"/>
  <c r="R115" i="5" l="1"/>
  <c r="T115" i="5" s="1"/>
  <c r="U115" i="5" s="1"/>
  <c r="AB115" i="5"/>
  <c r="AC115" i="5" s="1"/>
  <c r="AD115" i="5" s="1"/>
  <c r="N116" i="5"/>
  <c r="AF115" i="5"/>
  <c r="AG115" i="5" s="1"/>
  <c r="AH115" i="5" s="1"/>
  <c r="O115" i="5"/>
  <c r="P115" i="5" s="1"/>
  <c r="N115" i="4"/>
  <c r="R114" i="4"/>
  <c r="T114" i="4" s="1"/>
  <c r="U114" i="4" s="1"/>
  <c r="AB114" i="4"/>
  <c r="AC114" i="4" s="1"/>
  <c r="AD114" i="4" s="1"/>
  <c r="AF114" i="4"/>
  <c r="AG114" i="4" s="1"/>
  <c r="AH114" i="4" s="1"/>
  <c r="O114" i="4"/>
  <c r="P114" i="4" s="1"/>
  <c r="AF116" i="5" l="1"/>
  <c r="AG116" i="5" s="1"/>
  <c r="AH116" i="5" s="1"/>
  <c r="AB116" i="5"/>
  <c r="AC116" i="5" s="1"/>
  <c r="AD116" i="5" s="1"/>
  <c r="N117" i="5"/>
  <c r="R116" i="5"/>
  <c r="T116" i="5" s="1"/>
  <c r="U116" i="5" s="1"/>
  <c r="O116" i="5"/>
  <c r="P116" i="5" s="1"/>
  <c r="AF115" i="4"/>
  <c r="AG115" i="4" s="1"/>
  <c r="AH115" i="4" s="1"/>
  <c r="AB115" i="4"/>
  <c r="AC115" i="4" s="1"/>
  <c r="AD115" i="4" s="1"/>
  <c r="R115" i="4"/>
  <c r="T115" i="4" s="1"/>
  <c r="U115" i="4" s="1"/>
  <c r="N116" i="4"/>
  <c r="O115" i="4"/>
  <c r="P115" i="4" s="1"/>
  <c r="AF117" i="5" l="1"/>
  <c r="AG117" i="5" s="1"/>
  <c r="AH117" i="5" s="1"/>
  <c r="AB117" i="5"/>
  <c r="AC117" i="5" s="1"/>
  <c r="AD117" i="5" s="1"/>
  <c r="N118" i="5"/>
  <c r="O117" i="5"/>
  <c r="P117" i="5" s="1"/>
  <c r="R117" i="5"/>
  <c r="T117" i="5" s="1"/>
  <c r="U117" i="5" s="1"/>
  <c r="AB116" i="4"/>
  <c r="AC116" i="4" s="1"/>
  <c r="AD116" i="4" s="1"/>
  <c r="N117" i="4"/>
  <c r="AF116" i="4"/>
  <c r="AG116" i="4" s="1"/>
  <c r="AH116" i="4" s="1"/>
  <c r="R116" i="4"/>
  <c r="T116" i="4" s="1"/>
  <c r="U116" i="4" s="1"/>
  <c r="O116" i="4"/>
  <c r="P116" i="4" s="1"/>
  <c r="AF118" i="5" l="1"/>
  <c r="AG118" i="5" s="1"/>
  <c r="AH118" i="5" s="1"/>
  <c r="AB118" i="5"/>
  <c r="AC118" i="5" s="1"/>
  <c r="AD118" i="5" s="1"/>
  <c r="R118" i="5"/>
  <c r="T118" i="5" s="1"/>
  <c r="U118" i="5" s="1"/>
  <c r="O118" i="5"/>
  <c r="P118" i="5" s="1"/>
  <c r="N118" i="4"/>
  <c r="AF117" i="4"/>
  <c r="AG117" i="4" s="1"/>
  <c r="AH117" i="4" s="1"/>
  <c r="AB117" i="4"/>
  <c r="AC117" i="4" s="1"/>
  <c r="AD117" i="4" s="1"/>
  <c r="O117" i="4"/>
  <c r="P117" i="4" s="1"/>
  <c r="R117" i="4"/>
  <c r="T117" i="4" s="1"/>
  <c r="U117" i="4" s="1"/>
  <c r="AF118" i="4" l="1"/>
  <c r="AG118" i="4" s="1"/>
  <c r="AH118" i="4" s="1"/>
  <c r="AB118" i="4"/>
  <c r="AC118" i="4" s="1"/>
  <c r="AD118" i="4" s="1"/>
  <c r="R118" i="4"/>
  <c r="T118" i="4" s="1"/>
  <c r="U118" i="4" s="1"/>
  <c r="O118" i="4"/>
  <c r="P118" i="4" s="1"/>
  <c r="AL122" i="4" l="1"/>
  <c r="AL121" i="4"/>
  <c r="AL123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tc={F5BA7B1A-4B40-44FC-B783-8F803AACAD66}</author>
    <author>tc={9DF7F65D-B2D7-49C4-901E-D04E2F26A946}</author>
  </authors>
  <commentList>
    <comment ref="N23" authorId="0" shapeId="0" xr:uid="{F5BA7B1A-4B40-44FC-B783-8F803AACAD66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expresa en KG
</t>
      </text>
    </comment>
    <comment ref="X23" authorId="1" shapeId="0" xr:uid="{9DF7F65D-B2D7-49C4-901E-D04E2F26A946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expresa en KG
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tc={A0CBB509-1218-4AED-AFC0-05754F8DBE76}</author>
    <author>tc={423E2E33-59D8-473A-9A21-26E378B4B51D}</author>
  </authors>
  <commentList>
    <comment ref="N23" authorId="0" shapeId="0" xr:uid="{A0CBB509-1218-4AED-AFC0-05754F8DBE76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expresa en KG
</t>
      </text>
    </comment>
    <comment ref="X23" authorId="1" shapeId="0" xr:uid="{423E2E33-59D8-473A-9A21-26E378B4B51D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expresa en KG
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tc={20642A1C-15A3-4069-921C-CC93592488CA}</author>
    <author>tc={CDF2CCF5-A07D-499A-8C65-2782DD682958}</author>
  </authors>
  <commentList>
    <comment ref="N23" authorId="0" shapeId="0" xr:uid="{20642A1C-15A3-4069-921C-CC93592488CA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expresa en KG
</t>
      </text>
    </comment>
    <comment ref="X23" authorId="1" shapeId="0" xr:uid="{CDF2CCF5-A07D-499A-8C65-2782DD682958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expresa en KG
</t>
      </text>
    </comment>
  </commentList>
</comments>
</file>

<file path=xl/sharedStrings.xml><?xml version="1.0" encoding="utf-8"?>
<sst xmlns="http://schemas.openxmlformats.org/spreadsheetml/2006/main" count="293" uniqueCount="70">
  <si>
    <t>Caudal</t>
  </si>
  <si>
    <t>Flow</t>
  </si>
  <si>
    <t>m3/segundos</t>
  </si>
  <si>
    <t>BARRIL/MINUTO:</t>
  </si>
  <si>
    <t xml:space="preserve"> =</t>
  </si>
  <si>
    <t>M3/SEGUNDOS</t>
  </si>
  <si>
    <t>Altura de bombeo</t>
  </si>
  <si>
    <t>height difference</t>
  </si>
  <si>
    <t>metros</t>
  </si>
  <si>
    <t>barril /minutos</t>
  </si>
  <si>
    <t>m3/seg</t>
  </si>
  <si>
    <t>perdida de linea</t>
  </si>
  <si>
    <t>Loss energy by hose</t>
  </si>
  <si>
    <t>m3/dia</t>
  </si>
  <si>
    <t>m3/h</t>
  </si>
  <si>
    <t>Gravedad</t>
  </si>
  <si>
    <t>gravity</t>
  </si>
  <si>
    <t>m/segundo cuadrado</t>
  </si>
  <si>
    <t>bl/día</t>
  </si>
  <si>
    <t>bls/h</t>
  </si>
  <si>
    <t>bls/min</t>
  </si>
  <si>
    <t>Densidad</t>
  </si>
  <si>
    <t>density</t>
  </si>
  <si>
    <t>kg/m3</t>
  </si>
  <si>
    <t>Potencia</t>
  </si>
  <si>
    <t>power</t>
  </si>
  <si>
    <t>HP</t>
  </si>
  <si>
    <t>KW</t>
  </si>
  <si>
    <t xml:space="preserve">Consumo </t>
  </si>
  <si>
    <t xml:space="preserve">diesel consume </t>
  </si>
  <si>
    <t>GRAMOS/HP</t>
  </si>
  <si>
    <t>kg/hora</t>
  </si>
  <si>
    <t>Litros/hora</t>
  </si>
  <si>
    <t>Resistencia</t>
  </si>
  <si>
    <t>barriles</t>
  </si>
  <si>
    <t>potencia</t>
  </si>
  <si>
    <t xml:space="preserve">consumo </t>
  </si>
  <si>
    <t>Distancia</t>
  </si>
  <si>
    <t>km</t>
  </si>
  <si>
    <t>m3/d</t>
  </si>
  <si>
    <t>hp</t>
  </si>
  <si>
    <t>l/h</t>
  </si>
  <si>
    <t>coeficiente</t>
  </si>
  <si>
    <t>Millas</t>
  </si>
  <si>
    <t>Stage 1</t>
  </si>
  <si>
    <t>PSI</t>
  </si>
  <si>
    <t>kg/cm2</t>
  </si>
  <si>
    <t>caudal</t>
  </si>
  <si>
    <t>bpm</t>
  </si>
  <si>
    <t>12"</t>
  </si>
  <si>
    <t>10"</t>
  </si>
  <si>
    <t>m3/día</t>
  </si>
  <si>
    <t>Altitud</t>
  </si>
  <si>
    <t>Longitud metros</t>
  </si>
  <si>
    <t>Perdida de rozamiento</t>
  </si>
  <si>
    <t>presion estática</t>
  </si>
  <si>
    <t>Altura acumulada</t>
  </si>
  <si>
    <t>Calculo de presiones combinadas (PSI)</t>
  </si>
  <si>
    <t>Calculo de presiones combinadas (Kg/cm2)</t>
  </si>
  <si>
    <t>Rozamiento</t>
  </si>
  <si>
    <t>Altura Acumulada</t>
  </si>
  <si>
    <t>Pileta</t>
  </si>
  <si>
    <t>1 reb</t>
  </si>
  <si>
    <t>RRBB1</t>
  </si>
  <si>
    <t>RRBB2</t>
  </si>
  <si>
    <t>RRBB3</t>
  </si>
  <si>
    <t>RRBB4</t>
  </si>
  <si>
    <t>RRBB5</t>
  </si>
  <si>
    <t>By pass</t>
  </si>
  <si>
    <t>presion estática kg/cm2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</si>
</sst>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-[$$-2C0A]\ * #,##0.00_-;\-[$$-2C0A]\ * #,##0.00_-;_-[$$-2C0A]\ * &quot;-&quot;??_-;_-@_-"/>
    <numFmt numFmtId="165" formatCode="_-* #,##0.0000_-;\-* #,##0.0000_-;_-* &quot;-&quot;??_-;_-@_-"/>
    <numFmt numFmtId="166" formatCode="_-* #,##0.000_-;\-* #,##0.000_-;_-* &quot;-&quot;??_-;_-@_-"/>
    <numFmt numFmtId="167" formatCode="_-* #,##0_-;\-* #,##0_-;_-* &quot;-&quot;??_-;_-@_-"/>
    <numFmt numFmtId="168" formatCode="0.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theme="4" tint="0.79998168889431442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164" fontId="1" fillId="0" borderId="0"/>
  </cellStyleXfs>
  <cellXfs count="115">
    <xf numFmtId="0" fontId="0" fillId="0" borderId="0" xfId="0"/>
    <xf numFmtId="43" fontId="0" fillId="0" borderId="0" xfId="1" applyFont="1"/>
    <xf numFmtId="43" fontId="0" fillId="2" borderId="0" xfId="1" applyFont="1" applyFill="1"/>
    <xf numFmtId="164" fontId="1" fillId="0" borderId="0" xfId="2"/>
    <xf numFmtId="164" fontId="1" fillId="0" borderId="0" xfId="2" applyAlignment="1">
      <alignment horizontal="center" vertical="center"/>
    </xf>
    <xf numFmtId="165" fontId="0" fillId="0" borderId="0" xfId="1" applyNumberFormat="1" applyFont="1"/>
    <xf numFmtId="43" fontId="0" fillId="3" borderId="0" xfId="1" applyFont="1" applyFill="1"/>
    <xf numFmtId="43" fontId="0" fillId="4" borderId="0" xfId="1" applyFont="1" applyFill="1"/>
    <xf numFmtId="43" fontId="0" fillId="5" borderId="0" xfId="1" applyFont="1" applyFill="1"/>
    <xf numFmtId="43" fontId="0" fillId="6" borderId="0" xfId="1" applyFont="1" applyFill="1"/>
    <xf numFmtId="166" fontId="1" fillId="0" borderId="0" xfId="1" applyNumberFormat="1"/>
    <xf numFmtId="43" fontId="3" fillId="0" borderId="1" xfId="1" applyFont="1" applyBorder="1"/>
    <xf numFmtId="164" fontId="2" fillId="0" borderId="2" xfId="2" applyFont="1" applyBorder="1"/>
    <xf numFmtId="43" fontId="2" fillId="0" borderId="1" xfId="1" applyFont="1" applyBorder="1"/>
    <xf numFmtId="164" fontId="2" fillId="0" borderId="3" xfId="2" applyFont="1" applyBorder="1"/>
    <xf numFmtId="43" fontId="0" fillId="0" borderId="4" xfId="1" applyFont="1" applyBorder="1"/>
    <xf numFmtId="164" fontId="1" fillId="0" borderId="4" xfId="2" applyBorder="1"/>
    <xf numFmtId="164" fontId="0" fillId="0" borderId="0" xfId="2" applyFont="1"/>
    <xf numFmtId="43" fontId="1" fillId="0" borderId="0" xfId="1" applyFont="1"/>
    <xf numFmtId="43" fontId="2" fillId="0" borderId="0" xfId="1" applyFont="1"/>
    <xf numFmtId="43" fontId="1" fillId="4" borderId="0" xfId="1" applyFont="1" applyFill="1"/>
    <xf numFmtId="43" fontId="1" fillId="0" borderId="0" xfId="1"/>
    <xf numFmtId="43" fontId="2" fillId="0" borderId="4" xfId="1" applyFont="1" applyBorder="1" applyAlignment="1">
      <alignment horizontal="center" vertical="center"/>
    </xf>
    <xf numFmtId="43" fontId="0" fillId="0" borderId="0" xfId="1" applyFont="1" applyAlignment="1">
      <alignment horizontal="justify" vertical="top"/>
    </xf>
    <xf numFmtId="165" fontId="0" fillId="0" borderId="0" xfId="1" applyNumberFormat="1" applyFont="1" applyAlignment="1">
      <alignment horizontal="justify" vertical="top"/>
    </xf>
    <xf numFmtId="166" fontId="1" fillId="0" borderId="0" xfId="1" applyNumberFormat="1" applyAlignment="1">
      <alignment horizontal="justify" vertical="top"/>
    </xf>
    <xf numFmtId="164" fontId="1" fillId="0" borderId="0" xfId="2" applyAlignment="1">
      <alignment horizontal="justify" vertical="top"/>
    </xf>
    <xf numFmtId="43" fontId="0" fillId="7" borderId="4" xfId="1" applyFont="1" applyFill="1" applyBorder="1"/>
    <xf numFmtId="166" fontId="2" fillId="0" borderId="0" xfId="1" applyNumberFormat="1" applyFont="1"/>
    <xf numFmtId="43" fontId="0" fillId="0" borderId="5" xfId="1" applyFont="1" applyBorder="1"/>
    <xf numFmtId="166" fontId="1" fillId="0" borderId="0" xfId="1" applyNumberFormat="1" applyFont="1"/>
    <xf numFmtId="43" fontId="0" fillId="0" borderId="1" xfId="1" applyFont="1" applyBorder="1"/>
    <xf numFmtId="43" fontId="0" fillId="0" borderId="7" xfId="1" applyFont="1" applyBorder="1"/>
    <xf numFmtId="43" fontId="0" fillId="0" borderId="3" xfId="1" applyFont="1" applyBorder="1"/>
    <xf numFmtId="164" fontId="1" fillId="0" borderId="1" xfId="2" applyBorder="1"/>
    <xf numFmtId="43" fontId="0" fillId="0" borderId="6" xfId="1" applyFont="1" applyBorder="1"/>
    <xf numFmtId="43" fontId="0" fillId="0" borderId="10" xfId="1" applyFont="1" applyBorder="1"/>
    <xf numFmtId="164" fontId="1" fillId="0" borderId="5" xfId="2" applyBorder="1"/>
    <xf numFmtId="43" fontId="2" fillId="0" borderId="1" xfId="1" applyFont="1" applyBorder="1" applyAlignment="1">
      <alignment horizontal="center" vertical="center" wrapText="1"/>
    </xf>
    <xf numFmtId="43" fontId="2" fillId="0" borderId="7" xfId="1" applyFont="1" applyBorder="1" applyAlignment="1">
      <alignment horizontal="center" vertical="center" wrapText="1"/>
    </xf>
    <xf numFmtId="43" fontId="2" fillId="0" borderId="3" xfId="1" applyFont="1" applyBorder="1" applyAlignment="1">
      <alignment horizontal="center" vertical="center" wrapText="1"/>
    </xf>
    <xf numFmtId="43" fontId="0" fillId="4" borderId="6" xfId="1" applyFont="1" applyFill="1" applyBorder="1"/>
    <xf numFmtId="43" fontId="0" fillId="7" borderId="0" xfId="1" applyFont="1" applyFill="1"/>
    <xf numFmtId="43" fontId="1" fillId="0" borderId="0" xfId="1" applyAlignment="1">
      <alignment horizontal="justify" vertical="top"/>
    </xf>
    <xf numFmtId="43" fontId="1" fillId="0" borderId="4" xfId="1" applyFont="1" applyFill="1" applyBorder="1"/>
    <xf numFmtId="43" fontId="2" fillId="0" borderId="4" xfId="1" applyFont="1" applyBorder="1"/>
    <xf numFmtId="43" fontId="2" fillId="7" borderId="4" xfId="1" applyFont="1" applyFill="1" applyBorder="1"/>
    <xf numFmtId="164" fontId="2" fillId="0" borderId="1" xfId="2" applyFont="1" applyBorder="1" applyAlignment="1">
      <alignment horizontal="justify" vertical="center" wrapText="1"/>
    </xf>
    <xf numFmtId="43" fontId="0" fillId="8" borderId="0" xfId="1" applyFont="1" applyFill="1" applyAlignment="1">
      <alignment horizontal="center"/>
    </xf>
    <xf numFmtId="43" fontId="2" fillId="8" borderId="0" xfId="1" applyFont="1" applyFill="1" applyAlignment="1">
      <alignment horizontal="center" vertical="center"/>
    </xf>
    <xf numFmtId="164" fontId="2" fillId="8" borderId="0" xfId="2" applyFont="1" applyFill="1" applyAlignment="1">
      <alignment horizontal="center" vertical="center"/>
    </xf>
    <xf numFmtId="43" fontId="0" fillId="7" borderId="9" xfId="1" applyFont="1" applyFill="1" applyBorder="1"/>
    <xf numFmtId="43" fontId="0" fillId="7" borderId="5" xfId="1" applyFont="1" applyFill="1" applyBorder="1"/>
    <xf numFmtId="43" fontId="0" fillId="7" borderId="10" xfId="1" applyFont="1" applyFill="1" applyBorder="1"/>
    <xf numFmtId="43" fontId="1" fillId="7" borderId="8" xfId="1" applyFont="1" applyFill="1" applyBorder="1"/>
    <xf numFmtId="43" fontId="2" fillId="0" borderId="2" xfId="1" applyFont="1" applyBorder="1" applyAlignment="1">
      <alignment horizontal="center" vertical="center" wrapText="1"/>
    </xf>
    <xf numFmtId="164" fontId="2" fillId="0" borderId="15" xfId="2" applyFont="1" applyBorder="1" applyAlignment="1">
      <alignment horizontal="center" vertical="center" wrapText="1"/>
    </xf>
    <xf numFmtId="43" fontId="2" fillId="0" borderId="6" xfId="1" applyFont="1" applyBorder="1" applyAlignment="1">
      <alignment horizontal="center" vertical="center" wrapText="1"/>
    </xf>
    <xf numFmtId="43" fontId="1" fillId="0" borderId="4" xfId="1" applyFont="1" applyBorder="1"/>
    <xf numFmtId="43" fontId="1" fillId="4" borderId="4" xfId="1" applyFont="1" applyFill="1" applyBorder="1"/>
    <xf numFmtId="43" fontId="1" fillId="7" borderId="14" xfId="1" applyFont="1" applyFill="1" applyBorder="1"/>
    <xf numFmtId="43" fontId="1" fillId="0" borderId="8" xfId="1" applyFont="1" applyFill="1" applyBorder="1"/>
    <xf numFmtId="43" fontId="0" fillId="7" borderId="0" xfId="1" applyFont="1" applyFill="1" applyBorder="1"/>
    <xf numFmtId="43" fontId="1" fillId="4" borderId="14" xfId="1" applyFont="1" applyFill="1" applyBorder="1"/>
    <xf numFmtId="43" fontId="1" fillId="0" borderId="14" xfId="1" applyFont="1" applyFill="1" applyBorder="1"/>
    <xf numFmtId="43" fontId="1" fillId="7" borderId="4" xfId="1" applyFont="1" applyFill="1" applyBorder="1"/>
    <xf numFmtId="43" fontId="0" fillId="0" borderId="0" xfId="1" applyFont="1" applyFill="1" applyBorder="1"/>
    <xf numFmtId="43" fontId="2" fillId="0" borderId="0" xfId="1" applyFont="1" applyFill="1" applyBorder="1"/>
    <xf numFmtId="43" fontId="1" fillId="7" borderId="9" xfId="1" applyFont="1" applyFill="1" applyBorder="1"/>
    <xf numFmtId="43" fontId="1" fillId="7" borderId="12" xfId="1" applyFont="1" applyFill="1" applyBorder="1"/>
    <xf numFmtId="43" fontId="0" fillId="0" borderId="0" xfId="1" applyFont="1" applyBorder="1"/>
    <xf numFmtId="43" fontId="2" fillId="0" borderId="0" xfId="1" applyFont="1" applyBorder="1" applyAlignment="1">
      <alignment horizontal="center" vertical="center" wrapText="1"/>
    </xf>
    <xf numFmtId="43" fontId="2" fillId="7" borderId="0" xfId="1" applyFont="1" applyFill="1" applyBorder="1"/>
    <xf numFmtId="43" fontId="1" fillId="7" borderId="11" xfId="1" applyFont="1" applyFill="1" applyBorder="1"/>
    <xf numFmtId="43" fontId="1" fillId="0" borderId="0" xfId="1" applyFill="1" applyBorder="1"/>
    <xf numFmtId="43" fontId="2" fillId="4" borderId="6" xfId="1" applyFont="1" applyFill="1" applyBorder="1"/>
    <xf numFmtId="43" fontId="0" fillId="4" borderId="7" xfId="1" applyFont="1" applyFill="1" applyBorder="1"/>
    <xf numFmtId="167" fontId="0" fillId="4" borderId="7" xfId="1" applyNumberFormat="1" applyFont="1" applyFill="1" applyBorder="1"/>
    <xf numFmtId="43" fontId="0" fillId="4" borderId="1" xfId="1" applyFont="1" applyFill="1" applyBorder="1"/>
    <xf numFmtId="164" fontId="2" fillId="7" borderId="1" xfId="2" applyFont="1" applyFill="1" applyBorder="1" applyAlignment="1">
      <alignment horizontal="justify" vertical="center" wrapText="1"/>
    </xf>
    <xf numFmtId="43" fontId="0" fillId="4" borderId="3" xfId="1" applyFont="1" applyFill="1" applyBorder="1"/>
    <xf numFmtId="43" fontId="1" fillId="0" borderId="9" xfId="1" applyFont="1" applyFill="1" applyBorder="1"/>
    <xf numFmtId="43" fontId="1" fillId="0" borderId="11" xfId="1" applyFont="1" applyFill="1" applyBorder="1"/>
    <xf numFmtId="43" fontId="1" fillId="0" borderId="12" xfId="1" applyFont="1" applyFill="1" applyBorder="1"/>
    <xf numFmtId="43" fontId="0" fillId="0" borderId="2" xfId="1" applyFont="1" applyBorder="1"/>
    <xf numFmtId="43" fontId="0" fillId="7" borderId="13" xfId="1" applyFont="1" applyFill="1" applyBorder="1"/>
    <xf numFmtId="0" fontId="0" fillId="0" borderId="0" xfId="1" applyNumberFormat="1" applyFont="1"/>
    <xf numFmtId="0" fontId="1" fillId="0" borderId="0" xfId="2" applyNumberFormat="1"/>
    <xf numFmtId="0" fontId="1" fillId="0" borderId="0" xfId="1" applyNumberFormat="1"/>
    <xf numFmtId="167" fontId="1" fillId="0" borderId="4" xfId="2" applyNumberFormat="1" applyBorder="1"/>
    <xf numFmtId="167" fontId="2" fillId="0" borderId="9" xfId="1" applyNumberFormat="1" applyFont="1" applyBorder="1"/>
    <xf numFmtId="43" fontId="0" fillId="0" borderId="4" xfId="1" applyFont="1" applyFill="1" applyBorder="1"/>
    <xf numFmtId="43" fontId="2" fillId="0" borderId="4" xfId="1" applyFont="1" applyFill="1" applyBorder="1"/>
    <xf numFmtId="0" fontId="1" fillId="0" borderId="0" xfId="2" applyNumberFormat="1" applyAlignment="1">
      <alignment horizontal="center" vertical="center"/>
    </xf>
    <xf numFmtId="0" fontId="1" fillId="0" borderId="0" xfId="2" applyNumberFormat="1" applyAlignment="1">
      <alignment vertical="center"/>
    </xf>
    <xf numFmtId="168" fontId="1" fillId="0" borderId="0" xfId="2" applyNumberFormat="1" applyAlignment="1">
      <alignment horizontal="center" vertical="center"/>
    </xf>
    <xf numFmtId="168" fontId="1" fillId="0" borderId="0" xfId="2" applyNumberFormat="1"/>
    <xf numFmtId="0" fontId="0" fillId="9" borderId="16" xfId="0" applyFill="1" applyBorder="1"/>
    <xf numFmtId="0" fontId="0" fillId="0" borderId="16" xfId="0" applyBorder="1"/>
    <xf numFmtId="43" fontId="1" fillId="4" borderId="8" xfId="1" applyFont="1" applyFill="1" applyBorder="1"/>
    <xf numFmtId="167" fontId="2" fillId="4" borderId="9" xfId="1" applyNumberFormat="1" applyFont="1" applyFill="1" applyBorder="1"/>
    <xf numFmtId="43" fontId="0" fillId="4" borderId="5" xfId="1" applyFont="1" applyFill="1" applyBorder="1"/>
    <xf numFmtId="0" fontId="0" fillId="10" borderId="16" xfId="0" applyFill="1" applyBorder="1"/>
    <xf numFmtId="43" fontId="1" fillId="4" borderId="9" xfId="1" applyFont="1" applyFill="1" applyBorder="1"/>
    <xf numFmtId="43" fontId="1" fillId="4" borderId="11" xfId="1" applyFont="1" applyFill="1" applyBorder="1"/>
    <xf numFmtId="43" fontId="0" fillId="4" borderId="0" xfId="1" applyFont="1" applyFill="1" applyBorder="1"/>
    <xf numFmtId="164" fontId="1" fillId="4" borderId="0" xfId="2" applyFill="1"/>
    <xf numFmtId="43" fontId="1" fillId="4" borderId="0" xfId="1" applyFill="1"/>
    <xf numFmtId="0" fontId="1" fillId="4" borderId="0" xfId="2" applyNumberFormat="1" applyFill="1"/>
    <xf numFmtId="0" fontId="0" fillId="4" borderId="16" xfId="0" applyFill="1" applyBorder="1"/>
    <xf numFmtId="164" fontId="1" fillId="11" borderId="0" xfId="2" applyFill="1"/>
    <xf numFmtId="164" fontId="5" fillId="12" borderId="0" xfId="2" applyFont="1" applyFill="1"/>
    <xf numFmtId="164" fontId="1" fillId="12" borderId="0" xfId="2" applyFill="1"/>
    <xf numFmtId="164" fontId="6" fillId="12" borderId="0" xfId="2" applyFont="1" applyFill="1"/>
    <xf numFmtId="43" fontId="2" fillId="0" borderId="4" xfId="1" applyFont="1" applyBorder="1" applyAlignment="1">
      <alignment horizontal="center" vertical="center" wrapText="1"/>
    </xf>
  </cellXfs>
  <cellStyles count="3">
    <cellStyle name="Millares" xfId="1" builtinId="3"/>
    <cellStyle name="Normal" xfId="0" builtinId="0"/>
    <cellStyle name="Normal 2" xfId="2" xr:uid="{0F683FE0-4F7D-4CBC-9A1A-D37D6E02B04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3.58679465139932E-2"/>
          <c:y val="2.9994567912897663E-2"/>
          <c:w val="0.95229061484190836"/>
          <c:h val="0.94923996199355776"/>
        </c:manualLayout>
      </c:layout>
      <c:lineChart>
        <c:grouping val="standard"/>
        <c:varyColors val="0"/>
        <c:ser>
          <c:idx val="0"/>
          <c:order val="0"/>
          <c:tx>
            <c:strRef>
              <c:f>'600 m3-h'!$L$23</c:f>
              <c:strCache>
                <c:ptCount val="1"/>
                <c:pt idx="0">
                  <c:v> Altitud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'600 m3-h'!$I$24:$I$582</c:f>
              <c:numCache>
                <c:formatCode>_-* #,##0_-;\-* #,##0_-;_-* "-"??_-;_-@_-</c:formatCode>
                <c:ptCount val="559"/>
                <c:pt idx="0">
                  <c:v>0</c:v>
                </c:pt>
                <c:pt idx="1">
                  <c:v>500</c:v>
                </c:pt>
                <c:pt idx="2">
                  <c:v>1000</c:v>
                </c:pt>
                <c:pt idx="3">
                  <c:v>1500</c:v>
                </c:pt>
                <c:pt idx="4">
                  <c:v>2000</c:v>
                </c:pt>
                <c:pt idx="5">
                  <c:v>2500</c:v>
                </c:pt>
                <c:pt idx="6">
                  <c:v>3000</c:v>
                </c:pt>
                <c:pt idx="7">
                  <c:v>3500</c:v>
                </c:pt>
                <c:pt idx="8">
                  <c:v>4000</c:v>
                </c:pt>
                <c:pt idx="9">
                  <c:v>4500</c:v>
                </c:pt>
                <c:pt idx="10">
                  <c:v>5000</c:v>
                </c:pt>
                <c:pt idx="11">
                  <c:v>5500</c:v>
                </c:pt>
                <c:pt idx="12">
                  <c:v>6000</c:v>
                </c:pt>
                <c:pt idx="13">
                  <c:v>6500</c:v>
                </c:pt>
                <c:pt idx="14">
                  <c:v>7000</c:v>
                </c:pt>
                <c:pt idx="15">
                  <c:v>7500</c:v>
                </c:pt>
                <c:pt idx="16">
                  <c:v>8000</c:v>
                </c:pt>
                <c:pt idx="17">
                  <c:v>8500</c:v>
                </c:pt>
                <c:pt idx="18">
                  <c:v>9000</c:v>
                </c:pt>
                <c:pt idx="19">
                  <c:v>9500</c:v>
                </c:pt>
                <c:pt idx="20">
                  <c:v>10000</c:v>
                </c:pt>
                <c:pt idx="21">
                  <c:v>10500</c:v>
                </c:pt>
                <c:pt idx="22">
                  <c:v>11000</c:v>
                </c:pt>
                <c:pt idx="23">
                  <c:v>11500</c:v>
                </c:pt>
                <c:pt idx="24">
                  <c:v>12000</c:v>
                </c:pt>
                <c:pt idx="25">
                  <c:v>12500</c:v>
                </c:pt>
                <c:pt idx="26">
                  <c:v>13000</c:v>
                </c:pt>
                <c:pt idx="27">
                  <c:v>13500</c:v>
                </c:pt>
                <c:pt idx="28">
                  <c:v>14000</c:v>
                </c:pt>
                <c:pt idx="29">
                  <c:v>14500</c:v>
                </c:pt>
                <c:pt idx="30">
                  <c:v>15000</c:v>
                </c:pt>
                <c:pt idx="31">
                  <c:v>15500</c:v>
                </c:pt>
                <c:pt idx="32">
                  <c:v>16000</c:v>
                </c:pt>
                <c:pt idx="33">
                  <c:v>16500</c:v>
                </c:pt>
                <c:pt idx="34">
                  <c:v>17000</c:v>
                </c:pt>
                <c:pt idx="35">
                  <c:v>17500</c:v>
                </c:pt>
                <c:pt idx="36">
                  <c:v>18000</c:v>
                </c:pt>
                <c:pt idx="37">
                  <c:v>18500</c:v>
                </c:pt>
                <c:pt idx="38">
                  <c:v>19000</c:v>
                </c:pt>
                <c:pt idx="39">
                  <c:v>19500</c:v>
                </c:pt>
                <c:pt idx="40">
                  <c:v>20000</c:v>
                </c:pt>
                <c:pt idx="41">
                  <c:v>20500</c:v>
                </c:pt>
                <c:pt idx="42">
                  <c:v>21000</c:v>
                </c:pt>
                <c:pt idx="43">
                  <c:v>21500</c:v>
                </c:pt>
                <c:pt idx="44">
                  <c:v>22000</c:v>
                </c:pt>
                <c:pt idx="45">
                  <c:v>22500</c:v>
                </c:pt>
                <c:pt idx="46">
                  <c:v>23000</c:v>
                </c:pt>
                <c:pt idx="47">
                  <c:v>23500</c:v>
                </c:pt>
                <c:pt idx="48">
                  <c:v>24000</c:v>
                </c:pt>
                <c:pt idx="49">
                  <c:v>24500</c:v>
                </c:pt>
                <c:pt idx="50">
                  <c:v>25000</c:v>
                </c:pt>
                <c:pt idx="51">
                  <c:v>25500</c:v>
                </c:pt>
                <c:pt idx="52">
                  <c:v>26000</c:v>
                </c:pt>
                <c:pt idx="53">
                  <c:v>26500</c:v>
                </c:pt>
                <c:pt idx="54">
                  <c:v>27000</c:v>
                </c:pt>
                <c:pt idx="55">
                  <c:v>27500</c:v>
                </c:pt>
                <c:pt idx="56">
                  <c:v>28000</c:v>
                </c:pt>
                <c:pt idx="57">
                  <c:v>28500</c:v>
                </c:pt>
                <c:pt idx="58">
                  <c:v>29000</c:v>
                </c:pt>
                <c:pt idx="59">
                  <c:v>29500</c:v>
                </c:pt>
                <c:pt idx="60">
                  <c:v>30000</c:v>
                </c:pt>
                <c:pt idx="61">
                  <c:v>30500</c:v>
                </c:pt>
                <c:pt idx="62">
                  <c:v>31000</c:v>
                </c:pt>
                <c:pt idx="63">
                  <c:v>31500</c:v>
                </c:pt>
                <c:pt idx="64">
                  <c:v>32000</c:v>
                </c:pt>
                <c:pt idx="65">
                  <c:v>32500</c:v>
                </c:pt>
                <c:pt idx="66">
                  <c:v>33000</c:v>
                </c:pt>
                <c:pt idx="67">
                  <c:v>33500</c:v>
                </c:pt>
                <c:pt idx="68">
                  <c:v>34000</c:v>
                </c:pt>
                <c:pt idx="69">
                  <c:v>34500</c:v>
                </c:pt>
                <c:pt idx="70">
                  <c:v>35000</c:v>
                </c:pt>
                <c:pt idx="71">
                  <c:v>35500</c:v>
                </c:pt>
                <c:pt idx="72">
                  <c:v>36000</c:v>
                </c:pt>
                <c:pt idx="73">
                  <c:v>36500</c:v>
                </c:pt>
                <c:pt idx="74">
                  <c:v>37000</c:v>
                </c:pt>
                <c:pt idx="75">
                  <c:v>37500</c:v>
                </c:pt>
                <c:pt idx="76">
                  <c:v>38000</c:v>
                </c:pt>
                <c:pt idx="77">
                  <c:v>38500</c:v>
                </c:pt>
                <c:pt idx="78">
                  <c:v>39000</c:v>
                </c:pt>
                <c:pt idx="79">
                  <c:v>39500</c:v>
                </c:pt>
                <c:pt idx="80">
                  <c:v>40000</c:v>
                </c:pt>
                <c:pt idx="81">
                  <c:v>40500</c:v>
                </c:pt>
                <c:pt idx="82">
                  <c:v>41000</c:v>
                </c:pt>
                <c:pt idx="83">
                  <c:v>41500</c:v>
                </c:pt>
                <c:pt idx="84">
                  <c:v>42000</c:v>
                </c:pt>
                <c:pt idx="85">
                  <c:v>42500</c:v>
                </c:pt>
                <c:pt idx="86">
                  <c:v>43000</c:v>
                </c:pt>
                <c:pt idx="87">
                  <c:v>43500</c:v>
                </c:pt>
                <c:pt idx="88">
                  <c:v>44000</c:v>
                </c:pt>
                <c:pt idx="89">
                  <c:v>44500</c:v>
                </c:pt>
                <c:pt idx="90">
                  <c:v>45000</c:v>
                </c:pt>
                <c:pt idx="91">
                  <c:v>45500</c:v>
                </c:pt>
                <c:pt idx="92">
                  <c:v>46000</c:v>
                </c:pt>
                <c:pt idx="93">
                  <c:v>46500</c:v>
                </c:pt>
                <c:pt idx="94">
                  <c:v>46700</c:v>
                </c:pt>
              </c:numCache>
            </c:numRef>
          </c:cat>
          <c:val>
            <c:numRef>
              <c:f>'600 m3-h'!$L$24:$L$582</c:f>
              <c:numCache>
                <c:formatCode>General</c:formatCode>
                <c:ptCount val="559"/>
                <c:pt idx="0">
                  <c:v>545</c:v>
                </c:pt>
                <c:pt idx="1">
                  <c:v>535</c:v>
                </c:pt>
                <c:pt idx="2">
                  <c:v>518</c:v>
                </c:pt>
                <c:pt idx="3">
                  <c:v>508</c:v>
                </c:pt>
                <c:pt idx="4">
                  <c:v>505</c:v>
                </c:pt>
                <c:pt idx="5">
                  <c:v>504</c:v>
                </c:pt>
                <c:pt idx="6">
                  <c:v>503</c:v>
                </c:pt>
                <c:pt idx="7">
                  <c:v>502</c:v>
                </c:pt>
                <c:pt idx="8">
                  <c:v>502</c:v>
                </c:pt>
                <c:pt idx="9">
                  <c:v>501</c:v>
                </c:pt>
                <c:pt idx="10">
                  <c:v>501</c:v>
                </c:pt>
                <c:pt idx="11">
                  <c:v>500</c:v>
                </c:pt>
                <c:pt idx="12">
                  <c:v>462</c:v>
                </c:pt>
                <c:pt idx="13">
                  <c:v>423</c:v>
                </c:pt>
                <c:pt idx="14">
                  <c:v>392</c:v>
                </c:pt>
                <c:pt idx="15">
                  <c:v>360</c:v>
                </c:pt>
                <c:pt idx="16">
                  <c:v>341</c:v>
                </c:pt>
                <c:pt idx="17">
                  <c:v>331</c:v>
                </c:pt>
                <c:pt idx="18">
                  <c:v>326</c:v>
                </c:pt>
                <c:pt idx="19">
                  <c:v>315</c:v>
                </c:pt>
                <c:pt idx="20">
                  <c:v>313</c:v>
                </c:pt>
                <c:pt idx="21">
                  <c:v>310</c:v>
                </c:pt>
                <c:pt idx="22">
                  <c:v>303</c:v>
                </c:pt>
                <c:pt idx="23">
                  <c:v>300</c:v>
                </c:pt>
                <c:pt idx="24">
                  <c:v>297</c:v>
                </c:pt>
                <c:pt idx="25">
                  <c:v>295</c:v>
                </c:pt>
                <c:pt idx="26">
                  <c:v>291</c:v>
                </c:pt>
                <c:pt idx="27">
                  <c:v>289</c:v>
                </c:pt>
                <c:pt idx="28">
                  <c:v>289</c:v>
                </c:pt>
                <c:pt idx="29">
                  <c:v>290</c:v>
                </c:pt>
                <c:pt idx="30">
                  <c:v>290</c:v>
                </c:pt>
                <c:pt idx="31">
                  <c:v>291</c:v>
                </c:pt>
                <c:pt idx="32">
                  <c:v>288</c:v>
                </c:pt>
                <c:pt idx="33">
                  <c:v>287</c:v>
                </c:pt>
                <c:pt idx="34">
                  <c:v>285</c:v>
                </c:pt>
                <c:pt idx="35">
                  <c:v>281</c:v>
                </c:pt>
                <c:pt idx="36">
                  <c:v>288</c:v>
                </c:pt>
                <c:pt idx="37">
                  <c:v>287</c:v>
                </c:pt>
                <c:pt idx="38">
                  <c:v>284</c:v>
                </c:pt>
                <c:pt idx="39">
                  <c:v>285</c:v>
                </c:pt>
                <c:pt idx="40">
                  <c:v>287</c:v>
                </c:pt>
                <c:pt idx="41">
                  <c:v>283</c:v>
                </c:pt>
                <c:pt idx="42">
                  <c:v>283</c:v>
                </c:pt>
                <c:pt idx="43">
                  <c:v>276</c:v>
                </c:pt>
                <c:pt idx="44">
                  <c:v>274</c:v>
                </c:pt>
                <c:pt idx="45">
                  <c:v>270</c:v>
                </c:pt>
                <c:pt idx="46">
                  <c:v>267</c:v>
                </c:pt>
                <c:pt idx="47">
                  <c:v>268</c:v>
                </c:pt>
                <c:pt idx="48">
                  <c:v>267</c:v>
                </c:pt>
                <c:pt idx="49">
                  <c:v>264</c:v>
                </c:pt>
                <c:pt idx="50">
                  <c:v>266</c:v>
                </c:pt>
                <c:pt idx="51">
                  <c:v>270</c:v>
                </c:pt>
                <c:pt idx="52">
                  <c:v>268</c:v>
                </c:pt>
                <c:pt idx="53">
                  <c:v>267</c:v>
                </c:pt>
                <c:pt idx="54">
                  <c:v>273</c:v>
                </c:pt>
                <c:pt idx="55">
                  <c:v>280</c:v>
                </c:pt>
                <c:pt idx="56">
                  <c:v>288</c:v>
                </c:pt>
                <c:pt idx="57">
                  <c:v>288</c:v>
                </c:pt>
                <c:pt idx="58">
                  <c:v>288</c:v>
                </c:pt>
                <c:pt idx="59">
                  <c:v>296</c:v>
                </c:pt>
                <c:pt idx="60">
                  <c:v>299</c:v>
                </c:pt>
                <c:pt idx="61">
                  <c:v>304</c:v>
                </c:pt>
                <c:pt idx="62">
                  <c:v>310</c:v>
                </c:pt>
                <c:pt idx="63">
                  <c:v>311</c:v>
                </c:pt>
                <c:pt idx="64">
                  <c:v>318</c:v>
                </c:pt>
                <c:pt idx="65">
                  <c:v>325</c:v>
                </c:pt>
                <c:pt idx="66">
                  <c:v>335</c:v>
                </c:pt>
                <c:pt idx="67">
                  <c:v>347</c:v>
                </c:pt>
                <c:pt idx="68">
                  <c:v>350</c:v>
                </c:pt>
                <c:pt idx="69">
                  <c:v>356</c:v>
                </c:pt>
                <c:pt idx="70">
                  <c:v>360</c:v>
                </c:pt>
                <c:pt idx="71">
                  <c:v>370</c:v>
                </c:pt>
                <c:pt idx="72">
                  <c:v>370</c:v>
                </c:pt>
                <c:pt idx="73">
                  <c:v>377</c:v>
                </c:pt>
                <c:pt idx="74">
                  <c:v>385</c:v>
                </c:pt>
                <c:pt idx="75">
                  <c:v>391</c:v>
                </c:pt>
                <c:pt idx="76">
                  <c:v>403</c:v>
                </c:pt>
                <c:pt idx="77">
                  <c:v>413</c:v>
                </c:pt>
                <c:pt idx="78">
                  <c:v>420</c:v>
                </c:pt>
                <c:pt idx="79">
                  <c:v>431</c:v>
                </c:pt>
                <c:pt idx="80">
                  <c:v>440</c:v>
                </c:pt>
                <c:pt idx="81">
                  <c:v>449</c:v>
                </c:pt>
                <c:pt idx="82">
                  <c:v>464</c:v>
                </c:pt>
                <c:pt idx="83">
                  <c:v>469</c:v>
                </c:pt>
                <c:pt idx="84">
                  <c:v>478</c:v>
                </c:pt>
                <c:pt idx="85">
                  <c:v>486</c:v>
                </c:pt>
                <c:pt idx="86">
                  <c:v>490</c:v>
                </c:pt>
                <c:pt idx="87">
                  <c:v>508</c:v>
                </c:pt>
                <c:pt idx="88">
                  <c:v>521</c:v>
                </c:pt>
                <c:pt idx="89">
                  <c:v>531</c:v>
                </c:pt>
                <c:pt idx="90">
                  <c:v>545</c:v>
                </c:pt>
                <c:pt idx="91">
                  <c:v>557</c:v>
                </c:pt>
                <c:pt idx="92">
                  <c:v>567</c:v>
                </c:pt>
                <c:pt idx="93">
                  <c:v>579</c:v>
                </c:pt>
                <c:pt idx="94">
                  <c:v>586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4AE-407C-929F-72082804799F}"/>
            </c:ext>
          </c:extLst>
        </c:ser>
        <c:ser>
          <c:idx val="1"/>
          <c:order val="1"/>
          <c:tx>
            <c:strRef>
              <c:f>'600 m3-h'!$O$23</c:f>
              <c:strCache>
                <c:ptCount val="1"/>
                <c:pt idx="0">
                  <c:v> Calculo de presiones combinadas (PSI)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'600 m3-h'!$O$24:$O$582</c:f>
              <c:numCache>
                <c:formatCode>_(* #,##0.00_);_(* \(#,##0.00\);_(* "-"??_);_(@_)</c:formatCode>
                <c:ptCount val="559"/>
                <c:pt idx="0">
                  <c:v>0</c:v>
                </c:pt>
                <c:pt idx="1">
                  <c:v>12.426211987522837</c:v>
                </c:pt>
                <c:pt idx="2">
                  <c:v>-0.30757602495432579</c:v>
                </c:pt>
                <c:pt idx="3">
                  <c:v>-2.6813640374315</c:v>
                </c:pt>
                <c:pt idx="4">
                  <c:v>5.304847950091343</c:v>
                </c:pt>
                <c:pt idx="5">
                  <c:v>16.25105993761418</c:v>
                </c:pt>
                <c:pt idx="6">
                  <c:v>27.197271925137009</c:v>
                </c:pt>
                <c:pt idx="7">
                  <c:v>38.143483912659875</c:v>
                </c:pt>
                <c:pt idx="8">
                  <c:v>50.569695900182694</c:v>
                </c:pt>
                <c:pt idx="9">
                  <c:v>61.515907887705524</c:v>
                </c:pt>
                <c:pt idx="10">
                  <c:v>73.942119875228357</c:v>
                </c:pt>
                <c:pt idx="11">
                  <c:v>84.888331862751215</c:v>
                </c:pt>
                <c:pt idx="12">
                  <c:v>41.074543850274011</c:v>
                </c:pt>
                <c:pt idx="13">
                  <c:v>-4.2192441622031254</c:v>
                </c:pt>
                <c:pt idx="14">
                  <c:v>-37.673032174680259</c:v>
                </c:pt>
                <c:pt idx="15">
                  <c:v>-72.606820187157467</c:v>
                </c:pt>
                <c:pt idx="16">
                  <c:v>-88.30060819963461</c:v>
                </c:pt>
                <c:pt idx="17">
                  <c:v>-90.674396212111816</c:v>
                </c:pt>
                <c:pt idx="18">
                  <c:v>-85.648184224588931</c:v>
                </c:pt>
                <c:pt idx="19">
                  <c:v>-89.501972237066099</c:v>
                </c:pt>
                <c:pt idx="20">
                  <c:v>-80.035760249543273</c:v>
                </c:pt>
                <c:pt idx="21">
                  <c:v>-72.049548262020437</c:v>
                </c:pt>
                <c:pt idx="22">
                  <c:v>-69.98333627449756</c:v>
                </c:pt>
                <c:pt idx="23">
                  <c:v>-61.997124286974724</c:v>
                </c:pt>
                <c:pt idx="24">
                  <c:v>-54.010912299451945</c:v>
                </c:pt>
                <c:pt idx="25">
                  <c:v>-44.544700311929148</c:v>
                </c:pt>
                <c:pt idx="26">
                  <c:v>-38.038488324406217</c:v>
                </c:pt>
                <c:pt idx="27">
                  <c:v>-28.572276336883363</c:v>
                </c:pt>
                <c:pt idx="28">
                  <c:v>-16.146064349360472</c:v>
                </c:pt>
                <c:pt idx="29">
                  <c:v>-2.2398523618376771</c:v>
                </c:pt>
                <c:pt idx="30">
                  <c:v>10.1863596256851</c:v>
                </c:pt>
                <c:pt idx="31">
                  <c:v>24.092571613207951</c:v>
                </c:pt>
                <c:pt idx="32">
                  <c:v>32.078783600730844</c:v>
                </c:pt>
                <c:pt idx="33">
                  <c:v>43.02499558825366</c:v>
                </c:pt>
                <c:pt idx="34">
                  <c:v>52.491207575776457</c:v>
                </c:pt>
                <c:pt idx="35">
                  <c:v>58.997419563299331</c:v>
                </c:pt>
                <c:pt idx="36">
                  <c:v>81.783631550822179</c:v>
                </c:pt>
                <c:pt idx="37">
                  <c:v>92.729843538345051</c:v>
                </c:pt>
                <c:pt idx="38">
                  <c:v>100.71605552586789</c:v>
                </c:pt>
                <c:pt idx="39">
                  <c:v>114.62226751339068</c:v>
                </c:pt>
                <c:pt idx="40">
                  <c:v>130.0084795009135</c:v>
                </c:pt>
                <c:pt idx="41">
                  <c:v>136.51469148843637</c:v>
                </c:pt>
                <c:pt idx="42">
                  <c:v>148.94090347595915</c:v>
                </c:pt>
                <c:pt idx="43">
                  <c:v>151.00711546348202</c:v>
                </c:pt>
                <c:pt idx="44">
                  <c:v>160.47332745100499</c:v>
                </c:pt>
                <c:pt idx="45">
                  <c:v>166.97953943852781</c:v>
                </c:pt>
                <c:pt idx="46">
                  <c:v>174.96575142605064</c:v>
                </c:pt>
                <c:pt idx="47">
                  <c:v>188.8719634135735</c:v>
                </c:pt>
                <c:pt idx="48">
                  <c:v>199.8181754010962</c:v>
                </c:pt>
                <c:pt idx="49">
                  <c:v>207.80438738861903</c:v>
                </c:pt>
                <c:pt idx="50">
                  <c:v>223.19059937614185</c:v>
                </c:pt>
                <c:pt idx="51">
                  <c:v>241.53681136366464</c:v>
                </c:pt>
                <c:pt idx="52">
                  <c:v>251.00302335118761</c:v>
                </c:pt>
                <c:pt idx="53">
                  <c:v>261.94923533871042</c:v>
                </c:pt>
                <c:pt idx="54">
                  <c:v>283.25544732623331</c:v>
                </c:pt>
                <c:pt idx="55">
                  <c:v>306.0416593137561</c:v>
                </c:pt>
                <c:pt idx="56">
                  <c:v>330.30787130127908</c:v>
                </c:pt>
                <c:pt idx="57">
                  <c:v>342.73408328880168</c:v>
                </c:pt>
                <c:pt idx="58">
                  <c:v>355.16029527632463</c:v>
                </c:pt>
                <c:pt idx="59">
                  <c:v>379.42650726384733</c:v>
                </c:pt>
                <c:pt idx="60">
                  <c:v>396.29271925137022</c:v>
                </c:pt>
                <c:pt idx="61">
                  <c:v>416.11893123889314</c:v>
                </c:pt>
                <c:pt idx="62">
                  <c:v>437.42514322641591</c:v>
                </c:pt>
                <c:pt idx="63">
                  <c:v>451.33135521393899</c:v>
                </c:pt>
                <c:pt idx="64">
                  <c:v>474.11756720146167</c:v>
                </c:pt>
                <c:pt idx="65">
                  <c:v>496.90377918898452</c:v>
                </c:pt>
                <c:pt idx="66">
                  <c:v>524.12999117650736</c:v>
                </c:pt>
                <c:pt idx="67">
                  <c:v>554.31620316403018</c:v>
                </c:pt>
                <c:pt idx="68">
                  <c:v>571.18241515155296</c:v>
                </c:pt>
                <c:pt idx="69">
                  <c:v>592.48862713907579</c:v>
                </c:pt>
                <c:pt idx="70">
                  <c:v>610.83483912659869</c:v>
                </c:pt>
                <c:pt idx="71">
                  <c:v>638.0610511141216</c:v>
                </c:pt>
                <c:pt idx="72">
                  <c:v>650.48726310164432</c:v>
                </c:pt>
                <c:pt idx="73">
                  <c:v>673.27347508916728</c:v>
                </c:pt>
                <c:pt idx="74">
                  <c:v>697.53968707669014</c:v>
                </c:pt>
                <c:pt idx="75">
                  <c:v>718.84589906421309</c:v>
                </c:pt>
                <c:pt idx="76">
                  <c:v>749.0321110517358</c:v>
                </c:pt>
                <c:pt idx="77">
                  <c:v>776.25832303925858</c:v>
                </c:pt>
                <c:pt idx="78">
                  <c:v>799.04453502678132</c:v>
                </c:pt>
                <c:pt idx="79">
                  <c:v>827.75074701430401</c:v>
                </c:pt>
                <c:pt idx="80">
                  <c:v>853.49695900182701</c:v>
                </c:pt>
                <c:pt idx="81">
                  <c:v>879.24317098934989</c:v>
                </c:pt>
                <c:pt idx="82">
                  <c:v>913.86938297687277</c:v>
                </c:pt>
                <c:pt idx="83">
                  <c:v>933.69559496439535</c:v>
                </c:pt>
                <c:pt idx="84">
                  <c:v>959.44180695191835</c:v>
                </c:pt>
                <c:pt idx="85">
                  <c:v>983.7080189394411</c:v>
                </c:pt>
                <c:pt idx="86">
                  <c:v>1002.054230926964</c:v>
                </c:pt>
                <c:pt idx="87">
                  <c:v>1041.1204429144868</c:v>
                </c:pt>
                <c:pt idx="88">
                  <c:v>1072.78665490201</c:v>
                </c:pt>
                <c:pt idx="89">
                  <c:v>1100.0128668895327</c:v>
                </c:pt>
                <c:pt idx="90">
                  <c:v>1133.1590788770557</c:v>
                </c:pt>
                <c:pt idx="91">
                  <c:v>1163.3452908645784</c:v>
                </c:pt>
                <c:pt idx="92">
                  <c:v>1190.5715028521013</c:v>
                </c:pt>
                <c:pt idx="93">
                  <c:v>1220.7577148396238</c:v>
                </c:pt>
                <c:pt idx="94">
                  <c:v>1236.0881996346329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4AE-407C-929F-7208280479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01739103"/>
        <c:axId val="1201740063"/>
      </c:lineChart>
      <c:catAx>
        <c:axId val="1201739103"/>
        <c:scaling>
          <c:orientation val="minMax"/>
        </c:scaling>
        <c:delete val="0"/>
        <c:axPos val="b"/>
        <c:numFmt formatCode="_-* #,##0_-;\-* #,##0_-;_-* &quot;-&quot;??_-;_-@_-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201740063"/>
        <c:crosses val="autoZero"/>
        <c:auto val="1"/>
        <c:lblAlgn val="ctr"/>
        <c:lblOffset val="100"/>
        <c:noMultiLvlLbl val="0"/>
      </c:catAx>
      <c:valAx>
        <c:axId val="1201740063"/>
        <c:scaling>
          <c:orientation val="minMax"/>
          <c:max val="800"/>
          <c:min val="-3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201739103"/>
        <c:crosses val="autoZero"/>
        <c:crossBetween val="between"/>
        <c:majorUnit val="50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43053377255435937"/>
          <c:y val="0.9202120875746912"/>
          <c:w val="0.30895457727547398"/>
          <c:h val="7.787105787625378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3.58679465139932E-2"/>
          <c:y val="2.9994567912897663E-2"/>
          <c:w val="0.95229061484190836"/>
          <c:h val="0.94923996199355776"/>
        </c:manualLayout>
      </c:layout>
      <c:lineChart>
        <c:grouping val="standar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01739103"/>
        <c:axId val="1201740063"/>
      </c:lineChart>
      <c:catAx>
        <c:axId val="1201739103"/>
        <c:scaling>
          <c:orientation val="minMax"/>
        </c:scaling>
        <c:delete val="0"/>
        <c:axPos val="b"/>
        <c:numFmt formatCode="_-* #,##0_-;\-* #,##0_-;_-* &quot;-&quot;??_-;_-@_-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201740063"/>
        <c:crosses val="autoZero"/>
        <c:auto val="1"/>
        <c:lblAlgn val="ctr"/>
        <c:lblOffset val="100"/>
        <c:noMultiLvlLbl val="0"/>
      </c:catAx>
      <c:valAx>
        <c:axId val="1201740063"/>
        <c:scaling>
          <c:orientation val="minMax"/>
          <c:max val="800"/>
          <c:min val="-3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201739103"/>
        <c:crosses val="autoZero"/>
        <c:crossBetween val="between"/>
        <c:majorUnit val="50"/>
      </c:valAx>
      <c:spPr>
        <a:noFill/>
        <a:ln w="25400">
          <a:noFill/>
        </a:ln>
        <a:effectLst/>
      </c:spPr>
    </c:plotArea>
    <c:legend>
      <c:legendPos val="r"/>
      <c:layout>
        <c:manualLayout>
          <c:xMode val="edge"/>
          <c:yMode val="edge"/>
          <c:x val="0.43053377255435937"/>
          <c:y val="0.9202120875746912"/>
          <c:w val="0.30895457727547398"/>
          <c:h val="7.787105787625378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40</xdr:col>
      <xdr:colOff>89645</xdr:colOff>
      <xdr:row>22</xdr:row>
      <xdr:rowOff>654424</xdr:rowOff>
    </xdr:from>
    <xdr:to>
      <xdr:col>55</xdr:col>
      <xdr:colOff>53787</xdr:colOff>
      <xdr:row>53</xdr:row>
      <xdr:rowOff>35860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0771118-B4C2-4C85-84A2-AD91F9B559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41</xdr:col>
      <xdr:colOff>89645</xdr:colOff>
      <xdr:row>22</xdr:row>
      <xdr:rowOff>654424</xdr:rowOff>
    </xdr:from>
    <xdr:to>
      <xdr:col>56</xdr:col>
      <xdr:colOff>53787</xdr:colOff>
      <xdr:row>53</xdr:row>
      <xdr:rowOff>35860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E821750-3CF7-4DF6-9BC3-A5C6A7596E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Cesar Mardones" id="{F1DAD504-BA71-4AFC-A1F5-AEB8BAA53EB9}" userId="03c4cb90c65df961" providerId="Windows Live"/>
</personList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N23" dT="2023-03-23T11:14:03.67" personId="{F1DAD504-BA71-4AFC-A1F5-AEB8BAA53EB9}" id="{F5BA7B1A-4B40-44FC-B783-8F803AACAD66}">
    <text xml:space="preserve">Se expresa en KG
</text>
  </threadedComment>
  <threadedComment ref="X23" dT="2023-03-23T11:14:03.67" personId="{F1DAD504-BA71-4AFC-A1F5-AEB8BAA53EB9}" id="{9DF7F65D-B2D7-49C4-901E-D04E2F26A946}">
    <text xml:space="preserve">Se expresa en KG
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N23" dT="2023-03-23T11:14:03.67" personId="{F1DAD504-BA71-4AFC-A1F5-AEB8BAA53EB9}" id="{A0CBB509-1218-4AED-AFC0-05754F8DBE76}">
    <text xml:space="preserve">Se expresa en KG
</text>
  </threadedComment>
  <threadedComment ref="X23" dT="2023-03-23T11:14:03.67" personId="{F1DAD504-BA71-4AFC-A1F5-AEB8BAA53EB9}" id="{423E2E33-59D8-473A-9A21-26E378B4B51D}">
    <text xml:space="preserve">Se expresa en KG
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N23" dT="2023-03-23T11:14:03.67" personId="{F1DAD504-BA71-4AFC-A1F5-AEB8BAA53EB9}" id="{20642A1C-15A3-4069-921C-CC93592488CA}">
    <text xml:space="preserve">Se expresa en KG
</text>
  </threadedComment>
  <threadedComment ref="X23" dT="2023-03-23T11:14:03.67" personId="{F1DAD504-BA71-4AFC-A1F5-AEB8BAA53EB9}" id="{CDF2CCF5-A07D-499A-8C65-2782DD682958}">
    <text xml:space="preserve">Se expresa en KG
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5" Type="http://schemas.microsoft.com/office/2017/10/relationships/threadedComment" Target="../threadedComments/threadedComment3.xml"/><Relationship Id="rId4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3DBC3-DE96-4C7C-9F85-CABFDC33D606}">
  <dimension ref="B1:AN584"/>
  <sheetViews>
    <sheetView topLeftCell="D68" zoomScale="85" zoomScaleNormal="85" workbookViewId="0">
      <selection activeCell="I40" sqref="I40:P65"/>
    </sheetView>
  </sheetViews>
  <sheetFormatPr baseColWidth="10" defaultColWidth="11.5546875" defaultRowHeight="14.4" x14ac:dyDescent="0.3"/>
  <cols>
    <col min="1" max="1" width="11.5546875" style="87"/>
    <col min="2" max="2" width="17.109375" style="86" bestFit="1" customWidth="1"/>
    <col min="3" max="3" width="22.6640625" style="86" customWidth="1"/>
    <col min="4" max="4" width="15.109375" style="86" bestFit="1" customWidth="1"/>
    <col min="5" max="5" width="19.88671875" style="87" bestFit="1" customWidth="1"/>
    <col min="6" max="6" width="11.5546875" style="86"/>
    <col min="7" max="8" width="11.5546875" style="87"/>
    <col min="9" max="9" width="16.88671875" style="87" bestFit="1" customWidth="1"/>
    <col min="10" max="10" width="12.6640625" style="87" bestFit="1" customWidth="1"/>
    <col min="11" max="11" width="25.5546875" style="87" customWidth="1"/>
    <col min="12" max="12" width="17.5546875" style="87" customWidth="1"/>
    <col min="13" max="13" width="12.5546875" style="87" bestFit="1" customWidth="1"/>
    <col min="14" max="14" width="11.5546875" style="86"/>
    <col min="15" max="16" width="17" style="86" customWidth="1"/>
    <col min="17" max="20" width="0" style="87" hidden="1" customWidth="1"/>
    <col min="21" max="21" width="17" style="86" hidden="1" customWidth="1"/>
    <col min="22" max="26" width="0" style="87" hidden="1" customWidth="1"/>
    <col min="27" max="28" width="0" style="86" hidden="1" customWidth="1"/>
    <col min="29" max="29" width="0" style="87" hidden="1" customWidth="1"/>
    <col min="30" max="30" width="17" style="86" hidden="1" customWidth="1"/>
    <col min="31" max="33" width="0" style="87" hidden="1" customWidth="1"/>
    <col min="34" max="34" width="17" style="86" hidden="1" customWidth="1"/>
    <col min="35" max="36" width="0" style="87" hidden="1" customWidth="1"/>
    <col min="37" max="37" width="0" style="88" hidden="1" customWidth="1"/>
    <col min="38" max="16384" width="11.5546875" style="87"/>
  </cols>
  <sheetData>
    <row r="1" spans="2:37" s="3" customFormat="1" x14ac:dyDescent="0.3">
      <c r="B1" s="1"/>
      <c r="C1" s="1"/>
      <c r="D1" s="1"/>
      <c r="F1" s="1"/>
      <c r="N1" s="1"/>
      <c r="O1" s="1"/>
      <c r="P1" s="1"/>
      <c r="U1" s="1"/>
      <c r="AA1" s="1"/>
      <c r="AB1" s="1"/>
      <c r="AD1" s="1"/>
      <c r="AH1" s="1"/>
      <c r="AK1" s="21"/>
    </row>
    <row r="2" spans="2:37" s="3" customFormat="1" x14ac:dyDescent="0.3">
      <c r="B2" s="1"/>
      <c r="C2" s="1"/>
      <c r="D2" s="1"/>
      <c r="F2" s="1"/>
      <c r="N2" s="1"/>
      <c r="O2" s="1"/>
      <c r="P2" s="1"/>
      <c r="U2" s="1"/>
      <c r="AA2" s="1"/>
      <c r="AB2" s="1"/>
      <c r="AD2" s="1"/>
      <c r="AH2" s="1"/>
      <c r="AK2" s="21"/>
    </row>
    <row r="3" spans="2:37" s="3" customFormat="1" ht="15" thickBot="1" x14ac:dyDescent="0.35">
      <c r="B3" s="1" t="s">
        <v>0</v>
      </c>
      <c r="C3" s="1" t="s">
        <v>1</v>
      </c>
      <c r="D3" s="2">
        <f>+K4</f>
        <v>0.16899999999999998</v>
      </c>
      <c r="E3" s="3" t="s">
        <v>2</v>
      </c>
      <c r="F3" s="1"/>
      <c r="H3" s="1">
        <v>1</v>
      </c>
      <c r="I3" s="3" t="s">
        <v>3</v>
      </c>
      <c r="J3" s="4" t="s">
        <v>4</v>
      </c>
      <c r="K3" s="5">
        <v>2.5999999999999999E-3</v>
      </c>
      <c r="L3" s="3" t="s">
        <v>5</v>
      </c>
      <c r="N3" s="1"/>
      <c r="O3" s="1"/>
      <c r="P3" s="1"/>
      <c r="U3" s="1"/>
      <c r="AA3" s="1"/>
      <c r="AB3" s="1"/>
      <c r="AD3" s="1"/>
      <c r="AH3" s="1"/>
      <c r="AK3" s="21"/>
    </row>
    <row r="4" spans="2:37" s="3" customFormat="1" ht="15" thickBot="1" x14ac:dyDescent="0.35">
      <c r="B4" s="1" t="s">
        <v>6</v>
      </c>
      <c r="C4" s="1" t="s">
        <v>7</v>
      </c>
      <c r="D4" s="6">
        <f>L118-L24</f>
        <v>41</v>
      </c>
      <c r="E4" s="3" t="s">
        <v>8</v>
      </c>
      <c r="F4" s="1"/>
      <c r="H4" s="75">
        <v>65</v>
      </c>
      <c r="I4" s="3" t="s">
        <v>9</v>
      </c>
      <c r="K4" s="1">
        <f>+H4*K3</f>
        <v>0.16899999999999998</v>
      </c>
      <c r="L4" s="3" t="s">
        <v>10</v>
      </c>
      <c r="N4" s="1"/>
      <c r="O4" s="1"/>
      <c r="P4" s="1"/>
      <c r="U4" s="1"/>
      <c r="AA4" s="1"/>
      <c r="AB4" s="1"/>
      <c r="AD4" s="1"/>
      <c r="AH4" s="1"/>
      <c r="AK4" s="21"/>
    </row>
    <row r="5" spans="2:37" s="3" customFormat="1" x14ac:dyDescent="0.3">
      <c r="B5" s="1" t="s">
        <v>11</v>
      </c>
      <c r="C5" s="1" t="s">
        <v>12</v>
      </c>
      <c r="D5" s="6">
        <f>+F17*10</f>
        <v>434.8010381291104</v>
      </c>
      <c r="E5" s="3" t="s">
        <v>8</v>
      </c>
      <c r="F5" s="1"/>
      <c r="K5" s="1">
        <f>+K4*60*60*24</f>
        <v>14601.599999999999</v>
      </c>
      <c r="L5" s="3" t="s">
        <v>13</v>
      </c>
      <c r="M5" s="7">
        <f>+K5/24</f>
        <v>608.4</v>
      </c>
      <c r="N5" s="1" t="s">
        <v>14</v>
      </c>
      <c r="O5" s="1"/>
      <c r="P5" s="1"/>
      <c r="U5" s="1"/>
      <c r="AA5" s="1"/>
      <c r="AB5" s="1"/>
      <c r="AD5" s="1"/>
      <c r="AH5" s="1"/>
      <c r="AK5" s="21"/>
    </row>
    <row r="6" spans="2:37" s="3" customFormat="1" x14ac:dyDescent="0.3">
      <c r="B6" s="1" t="s">
        <v>15</v>
      </c>
      <c r="C6" s="1" t="s">
        <v>16</v>
      </c>
      <c r="D6" s="8">
        <v>9.81</v>
      </c>
      <c r="E6" s="3" t="s">
        <v>17</v>
      </c>
      <c r="F6" s="1"/>
      <c r="K6" s="1">
        <f>+K5/0.156</f>
        <v>93599.999999999985</v>
      </c>
      <c r="L6" s="1" t="s">
        <v>18</v>
      </c>
      <c r="M6" s="1">
        <f>+K6/24</f>
        <v>3899.9999999999995</v>
      </c>
      <c r="N6" s="1" t="s">
        <v>19</v>
      </c>
      <c r="O6" s="1">
        <f>+M6/60</f>
        <v>64.999999999999986</v>
      </c>
      <c r="P6" s="1"/>
      <c r="Q6" s="1" t="s">
        <v>20</v>
      </c>
      <c r="R6" s="1"/>
      <c r="S6" s="1"/>
      <c r="U6" s="1"/>
      <c r="V6" s="1"/>
      <c r="W6" s="1"/>
      <c r="X6" s="1"/>
      <c r="Y6" s="1"/>
      <c r="Z6" s="1"/>
      <c r="AA6" s="1"/>
      <c r="AB6" s="1"/>
      <c r="AD6" s="1"/>
      <c r="AH6" s="1"/>
      <c r="AK6" s="21"/>
    </row>
    <row r="7" spans="2:37" s="3" customFormat="1" ht="15" thickBot="1" x14ac:dyDescent="0.35">
      <c r="B7" s="1" t="s">
        <v>21</v>
      </c>
      <c r="C7" s="1" t="s">
        <v>22</v>
      </c>
      <c r="D7" s="9">
        <v>1000</v>
      </c>
      <c r="E7" s="3" t="s">
        <v>23</v>
      </c>
      <c r="F7" s="1"/>
      <c r="G7" s="10">
        <v>0.746</v>
      </c>
      <c r="K7" s="1">
        <f>+K5/24</f>
        <v>608.4</v>
      </c>
      <c r="L7" s="3" t="s">
        <v>14</v>
      </c>
      <c r="N7" s="1"/>
      <c r="O7" s="1"/>
      <c r="P7" s="1"/>
      <c r="U7" s="1"/>
      <c r="AA7" s="1"/>
      <c r="AB7" s="1"/>
      <c r="AD7" s="1"/>
      <c r="AH7" s="1"/>
      <c r="AK7" s="21"/>
    </row>
    <row r="8" spans="2:37" s="3" customFormat="1" ht="16.2" thickBot="1" x14ac:dyDescent="0.35">
      <c r="B8" s="1" t="s">
        <v>24</v>
      </c>
      <c r="C8" s="1" t="s">
        <v>25</v>
      </c>
      <c r="D8" s="11">
        <f>+(D3*(D4+D5)*D6*D7)/745.7</f>
        <v>1057.832617813961</v>
      </c>
      <c r="E8" s="12" t="s">
        <v>26</v>
      </c>
      <c r="F8" s="13">
        <f>+D8*0.746</f>
        <v>789.14313288921483</v>
      </c>
      <c r="G8" s="14" t="s">
        <v>27</v>
      </c>
      <c r="H8" s="3">
        <v>0.83199999999999996</v>
      </c>
      <c r="N8" s="1"/>
      <c r="O8" s="1"/>
      <c r="P8" s="1"/>
      <c r="U8" s="1"/>
      <c r="AA8" s="1"/>
      <c r="AB8" s="1"/>
      <c r="AD8" s="1"/>
      <c r="AH8" s="1"/>
      <c r="AK8" s="21"/>
    </row>
    <row r="9" spans="2:37" s="3" customFormat="1" x14ac:dyDescent="0.3">
      <c r="B9" s="1"/>
      <c r="C9" s="1"/>
      <c r="D9" s="1"/>
      <c r="F9" s="1"/>
      <c r="N9" s="1"/>
      <c r="O9" s="1"/>
      <c r="P9" s="1"/>
      <c r="U9" s="1"/>
      <c r="AA9" s="1"/>
      <c r="AB9" s="1"/>
      <c r="AD9" s="1"/>
      <c r="AH9" s="1"/>
      <c r="AK9" s="21"/>
    </row>
    <row r="10" spans="2:37" s="3" customFormat="1" x14ac:dyDescent="0.3">
      <c r="B10" s="1" t="s">
        <v>28</v>
      </c>
      <c r="C10" s="1" t="s">
        <v>29</v>
      </c>
      <c r="D10" s="1">
        <v>191</v>
      </c>
      <c r="E10" s="3" t="s">
        <v>30</v>
      </c>
      <c r="F10" s="1">
        <f>+(D10*D8)/1000</f>
        <v>202.04603000246655</v>
      </c>
      <c r="G10" s="3" t="s">
        <v>31</v>
      </c>
      <c r="N10" s="1"/>
      <c r="O10" s="1"/>
      <c r="P10" s="1"/>
      <c r="U10" s="1"/>
      <c r="AA10" s="1"/>
      <c r="AB10" s="1"/>
      <c r="AD10" s="1"/>
      <c r="AH10" s="1"/>
      <c r="AK10" s="21"/>
    </row>
    <row r="11" spans="2:37" s="3" customFormat="1" x14ac:dyDescent="0.3">
      <c r="B11" s="1"/>
      <c r="C11" s="1"/>
      <c r="D11" s="1"/>
      <c r="F11" s="9">
        <f>+F10/0.832</f>
        <v>242.84378606065692</v>
      </c>
      <c r="G11" s="3" t="s">
        <v>32</v>
      </c>
      <c r="J11" s="1"/>
      <c r="N11" s="1"/>
      <c r="O11" s="1"/>
      <c r="P11" s="1"/>
      <c r="U11" s="1"/>
      <c r="AA11" s="1"/>
      <c r="AB11" s="1"/>
      <c r="AD11" s="1"/>
      <c r="AH11" s="1"/>
      <c r="AK11" s="21"/>
    </row>
    <row r="12" spans="2:37" s="3" customFormat="1" ht="15" thickBot="1" x14ac:dyDescent="0.35">
      <c r="B12" s="1" t="s">
        <v>33</v>
      </c>
      <c r="C12" s="1"/>
      <c r="D12" s="1"/>
      <c r="F12" s="1"/>
      <c r="J12" s="15" t="s">
        <v>34</v>
      </c>
      <c r="K12" s="16"/>
      <c r="L12" s="16" t="s">
        <v>35</v>
      </c>
      <c r="M12" s="16" t="s">
        <v>36</v>
      </c>
      <c r="N12" s="15"/>
      <c r="O12" s="66"/>
      <c r="P12" s="66"/>
      <c r="U12" s="66"/>
      <c r="AA12" s="1"/>
      <c r="AB12" s="1"/>
      <c r="AD12" s="66"/>
      <c r="AH12" s="66"/>
      <c r="AK12" s="21"/>
    </row>
    <row r="13" spans="2:37" s="3" customFormat="1" ht="15" thickBot="1" x14ac:dyDescent="0.35">
      <c r="B13" s="1" t="s">
        <v>37</v>
      </c>
      <c r="C13" s="1"/>
      <c r="D13" s="41">
        <v>46.7</v>
      </c>
      <c r="E13" s="3" t="s">
        <v>38</v>
      </c>
      <c r="F13" s="1"/>
      <c r="J13" s="15" t="s">
        <v>20</v>
      </c>
      <c r="K13" s="16" t="s">
        <v>39</v>
      </c>
      <c r="L13" s="16" t="s">
        <v>40</v>
      </c>
      <c r="M13" s="16" t="s">
        <v>41</v>
      </c>
      <c r="N13" s="15" t="s">
        <v>42</v>
      </c>
      <c r="O13" s="66"/>
      <c r="P13" s="66"/>
      <c r="Q13" s="17"/>
      <c r="U13" s="66"/>
      <c r="AA13" s="1"/>
      <c r="AB13" s="1"/>
      <c r="AD13" s="66"/>
      <c r="AH13" s="66"/>
      <c r="AK13" s="21"/>
    </row>
    <row r="14" spans="2:37" s="3" customFormat="1" x14ac:dyDescent="0.3">
      <c r="B14" s="1" t="s">
        <v>43</v>
      </c>
      <c r="C14" s="1"/>
      <c r="D14" s="1">
        <f>+D13/1.60934</f>
        <v>29.018106801545976</v>
      </c>
      <c r="F14" s="1"/>
      <c r="I14" s="114" t="s">
        <v>44</v>
      </c>
      <c r="J14" s="58">
        <f>+H4</f>
        <v>65</v>
      </c>
      <c r="K14" s="15">
        <f>+J14*0.156*60*24</f>
        <v>14601.600000000002</v>
      </c>
      <c r="L14" s="15">
        <f>+D8</f>
        <v>1057.832617813961</v>
      </c>
      <c r="M14" s="45">
        <f>+F11</f>
        <v>242.84378606065692</v>
      </c>
      <c r="N14" s="45"/>
      <c r="O14" s="67"/>
      <c r="P14" s="67"/>
      <c r="U14" s="67"/>
      <c r="AA14" s="1"/>
      <c r="AB14" s="1"/>
      <c r="AD14" s="67"/>
      <c r="AH14" s="67"/>
      <c r="AK14" s="21"/>
    </row>
    <row r="15" spans="2:37" s="3" customFormat="1" x14ac:dyDescent="0.3">
      <c r="B15" s="1"/>
      <c r="C15" s="1"/>
      <c r="D15" s="1">
        <f>+D14*5280</f>
        <v>153215.60391216274</v>
      </c>
      <c r="F15" s="1"/>
      <c r="I15" s="114"/>
      <c r="J15" s="44"/>
      <c r="K15" s="91"/>
      <c r="L15" s="91"/>
      <c r="M15" s="92"/>
      <c r="N15" s="92"/>
      <c r="O15" s="67"/>
      <c r="P15" s="67"/>
      <c r="Q15" s="74"/>
      <c r="U15" s="67"/>
      <c r="AA15" s="1"/>
      <c r="AB15" s="1"/>
      <c r="AD15" s="67"/>
      <c r="AH15" s="67"/>
      <c r="AK15" s="21"/>
    </row>
    <row r="16" spans="2:37" s="3" customFormat="1" ht="15" thickBot="1" x14ac:dyDescent="0.35">
      <c r="B16" s="1"/>
      <c r="C16" s="1"/>
      <c r="D16" s="1">
        <f>+D15/100</f>
        <v>1532.1560391216274</v>
      </c>
      <c r="E16" s="3" t="s">
        <v>45</v>
      </c>
      <c r="F16" s="1"/>
      <c r="I16" s="114"/>
      <c r="J16" s="44"/>
      <c r="K16" s="91"/>
      <c r="L16" s="91"/>
      <c r="M16" s="92"/>
      <c r="N16" s="92"/>
      <c r="O16" s="67"/>
      <c r="P16" s="67"/>
      <c r="Q16" s="74"/>
      <c r="U16" s="67"/>
      <c r="AA16" s="1"/>
      <c r="AB16" s="1"/>
      <c r="AD16" s="67"/>
      <c r="AH16" s="67"/>
      <c r="AK16" s="21"/>
    </row>
    <row r="17" spans="2:40" s="3" customFormat="1" ht="15" thickBot="1" x14ac:dyDescent="0.35">
      <c r="B17" s="1"/>
      <c r="C17" s="1"/>
      <c r="D17" s="75">
        <f>+D16*D43</f>
        <v>643.50553643108344</v>
      </c>
      <c r="E17" s="3" t="s">
        <v>45</v>
      </c>
      <c r="F17" s="1">
        <f>+D17/14.8</f>
        <v>43.48010381291104</v>
      </c>
      <c r="G17" s="3" t="s">
        <v>46</v>
      </c>
      <c r="I17" s="22"/>
      <c r="J17" s="44"/>
      <c r="K17" s="91"/>
      <c r="L17" s="91"/>
      <c r="M17" s="91"/>
      <c r="N17" s="91"/>
      <c r="O17" s="67"/>
      <c r="P17" s="67"/>
      <c r="Q17" s="74"/>
      <c r="U17" s="67"/>
      <c r="AA17" s="1"/>
      <c r="AB17" s="1"/>
      <c r="AD17" s="67"/>
      <c r="AH17" s="67"/>
      <c r="AK17" s="21"/>
    </row>
    <row r="18" spans="2:40" s="3" customFormat="1" x14ac:dyDescent="0.3">
      <c r="B18" s="1"/>
      <c r="C18" s="1"/>
      <c r="D18" s="1"/>
      <c r="F18" s="1"/>
      <c r="I18" s="22"/>
      <c r="J18" s="44"/>
      <c r="K18" s="91"/>
      <c r="L18" s="91"/>
      <c r="M18" s="92"/>
      <c r="N18" s="91"/>
      <c r="O18" s="67"/>
      <c r="P18" s="67"/>
      <c r="Q18" s="74"/>
      <c r="U18" s="67"/>
      <c r="AA18" s="1"/>
      <c r="AB18" s="1"/>
      <c r="AD18" s="67"/>
      <c r="AH18" s="67"/>
      <c r="AK18" s="21"/>
    </row>
    <row r="19" spans="2:40" s="3" customFormat="1" x14ac:dyDescent="0.3">
      <c r="B19" s="1"/>
      <c r="C19" s="1"/>
      <c r="D19" s="1"/>
      <c r="F19" s="1"/>
      <c r="I19" s="1"/>
      <c r="J19" s="1"/>
      <c r="K19" s="1"/>
      <c r="L19" s="1"/>
      <c r="N19" s="1"/>
      <c r="O19" s="1"/>
      <c r="P19" s="1"/>
      <c r="U19" s="1"/>
      <c r="AA19" s="1"/>
      <c r="AB19" s="1"/>
      <c r="AD19" s="1"/>
      <c r="AH19" s="1"/>
      <c r="AK19" s="21"/>
    </row>
    <row r="20" spans="2:40" s="3" customFormat="1" x14ac:dyDescent="0.3">
      <c r="B20" s="1" t="s">
        <v>47</v>
      </c>
      <c r="C20" s="1" t="s">
        <v>47</v>
      </c>
      <c r="D20" s="48" t="s">
        <v>42</v>
      </c>
      <c r="E20" s="48" t="s">
        <v>42</v>
      </c>
      <c r="F20" s="1"/>
      <c r="I20" s="1"/>
      <c r="J20" s="1"/>
      <c r="K20" s="1"/>
      <c r="L20" s="1"/>
      <c r="N20" s="1"/>
      <c r="O20" s="1"/>
      <c r="P20" s="1"/>
      <c r="U20" s="1"/>
      <c r="AA20" s="1"/>
      <c r="AB20" s="1"/>
      <c r="AD20" s="1"/>
      <c r="AH20" s="1"/>
      <c r="AK20" s="21"/>
    </row>
    <row r="21" spans="2:40" s="3" customFormat="1" ht="15" thickBot="1" x14ac:dyDescent="0.35">
      <c r="B21" s="1" t="s">
        <v>48</v>
      </c>
      <c r="C21" s="1" t="s">
        <v>39</v>
      </c>
      <c r="D21" s="49" t="s">
        <v>49</v>
      </c>
      <c r="E21" s="50" t="s">
        <v>50</v>
      </c>
      <c r="F21" s="1"/>
      <c r="I21" s="1"/>
      <c r="J21" s="1"/>
      <c r="M21" s="1"/>
      <c r="N21" s="1"/>
      <c r="O21" s="1"/>
      <c r="P21" s="1"/>
      <c r="T21" s="1">
        <f>+Q22*0.156*60</f>
        <v>748.80000000000007</v>
      </c>
      <c r="U21" s="1"/>
      <c r="AA21" s="17" t="s">
        <v>14</v>
      </c>
      <c r="AB21" s="1"/>
      <c r="AC21" s="1">
        <f>+AA22*0.156*60</f>
        <v>655.20000000000005</v>
      </c>
      <c r="AD21" s="1"/>
      <c r="AG21" s="1">
        <f>+AE22*0.156*60</f>
        <v>561.59999999999991</v>
      </c>
      <c r="AH21" s="1"/>
      <c r="AI21" s="1"/>
      <c r="AK21" s="21"/>
    </row>
    <row r="22" spans="2:40" s="3" customFormat="1" ht="15" thickBot="1" x14ac:dyDescent="0.35">
      <c r="B22" s="1">
        <v>12</v>
      </c>
      <c r="C22" s="1">
        <f t="shared" ref="C22:C45" si="0">+B22*0.156*60*24</f>
        <v>2695.68</v>
      </c>
      <c r="D22" s="5">
        <v>2.5999999999999999E-2</v>
      </c>
      <c r="E22" s="10">
        <v>6.9000000000000006E-2</v>
      </c>
      <c r="F22" s="1"/>
      <c r="I22" s="35" t="s">
        <v>49</v>
      </c>
      <c r="J22" s="34"/>
      <c r="K22" s="77">
        <f>+H4</f>
        <v>65</v>
      </c>
      <c r="L22" s="32" t="s">
        <v>48</v>
      </c>
      <c r="M22" s="32">
        <f>+K7</f>
        <v>608.4</v>
      </c>
      <c r="N22" s="32" t="s">
        <v>51</v>
      </c>
      <c r="O22" s="76">
        <f>+D43</f>
        <v>0.42</v>
      </c>
      <c r="P22" s="33"/>
      <c r="Q22" s="78">
        <v>80</v>
      </c>
      <c r="R22" s="32" t="s">
        <v>48</v>
      </c>
      <c r="S22" s="84"/>
      <c r="T22" s="80">
        <f>+D47</f>
        <v>1.11425</v>
      </c>
      <c r="U22" s="33"/>
      <c r="V22" s="84"/>
      <c r="W22" s="84">
        <v>40</v>
      </c>
      <c r="X22" s="84"/>
      <c r="Y22" s="84" t="s">
        <v>48</v>
      </c>
      <c r="Z22" s="84"/>
      <c r="AA22" s="31">
        <v>70</v>
      </c>
      <c r="AB22" s="32" t="s">
        <v>48</v>
      </c>
      <c r="AC22" s="33">
        <f>+D45</f>
        <v>0.88700000000000001</v>
      </c>
      <c r="AD22" s="33"/>
      <c r="AE22" s="31">
        <v>60</v>
      </c>
      <c r="AF22" s="32" t="s">
        <v>48</v>
      </c>
      <c r="AG22" s="33">
        <f>+D44</f>
        <v>0.628</v>
      </c>
      <c r="AH22" s="33"/>
      <c r="AI22" s="70"/>
      <c r="AK22" s="21"/>
    </row>
    <row r="23" spans="2:40" s="26" customFormat="1" ht="59.25" customHeight="1" thickBot="1" x14ac:dyDescent="0.35">
      <c r="B23" s="23">
        <v>13</v>
      </c>
      <c r="C23" s="23">
        <f t="shared" si="0"/>
        <v>2920.32</v>
      </c>
      <c r="D23" s="24">
        <v>0.03</v>
      </c>
      <c r="E23" s="25">
        <v>8.2000000000000003E-2</v>
      </c>
      <c r="F23" s="23">
        <v>48</v>
      </c>
      <c r="G23" s="23">
        <v>6.29</v>
      </c>
      <c r="H23" s="23"/>
      <c r="I23" s="38" t="s">
        <v>53</v>
      </c>
      <c r="J23" s="39" t="s">
        <v>43</v>
      </c>
      <c r="K23" s="55" t="s">
        <v>54</v>
      </c>
      <c r="L23" s="57" t="s">
        <v>52</v>
      </c>
      <c r="M23" s="56" t="s">
        <v>55</v>
      </c>
      <c r="N23" s="39" t="s">
        <v>56</v>
      </c>
      <c r="O23" s="39" t="s">
        <v>57</v>
      </c>
      <c r="P23" s="40" t="s">
        <v>58</v>
      </c>
      <c r="Q23" s="79" t="s">
        <v>59</v>
      </c>
      <c r="R23" s="39" t="s">
        <v>60</v>
      </c>
      <c r="S23" s="55"/>
      <c r="T23" s="40" t="s">
        <v>57</v>
      </c>
      <c r="U23" s="40" t="s">
        <v>58</v>
      </c>
      <c r="V23" s="55"/>
      <c r="W23" s="79" t="s">
        <v>59</v>
      </c>
      <c r="X23" s="39" t="s">
        <v>56</v>
      </c>
      <c r="Y23" s="55"/>
      <c r="Z23" s="55"/>
      <c r="AA23" s="47" t="s">
        <v>59</v>
      </c>
      <c r="AB23" s="39" t="s">
        <v>60</v>
      </c>
      <c r="AC23" s="40" t="s">
        <v>57</v>
      </c>
      <c r="AD23" s="40" t="s">
        <v>58</v>
      </c>
      <c r="AE23" s="47" t="s">
        <v>59</v>
      </c>
      <c r="AF23" s="39" t="s">
        <v>60</v>
      </c>
      <c r="AG23" s="40" t="s">
        <v>57</v>
      </c>
      <c r="AH23" s="40" t="s">
        <v>58</v>
      </c>
      <c r="AI23" s="71"/>
      <c r="AK23" s="43"/>
      <c r="AL23" s="4"/>
    </row>
    <row r="24" spans="2:40" s="3" customFormat="1" x14ac:dyDescent="0.3">
      <c r="B24" s="1">
        <v>14</v>
      </c>
      <c r="C24" s="1">
        <f t="shared" si="0"/>
        <v>3144.9600000000005</v>
      </c>
      <c r="D24" s="5">
        <v>3.9E-2</v>
      </c>
      <c r="E24" s="10">
        <v>0.09</v>
      </c>
      <c r="F24" s="1">
        <v>60</v>
      </c>
      <c r="G24" s="1">
        <v>8</v>
      </c>
      <c r="H24" s="1"/>
      <c r="I24" s="90" t="e">
        <f>+#REF!*1000</f>
        <v>#REF!</v>
      </c>
      <c r="J24" s="37"/>
      <c r="K24" s="29" t="e">
        <f>+($I24/1609.34)*5280/(100)*$H$45</f>
        <v>#REF!</v>
      </c>
      <c r="L24" s="97">
        <v>545</v>
      </c>
      <c r="M24" s="29"/>
      <c r="N24" s="29">
        <v>0</v>
      </c>
      <c r="O24" s="29" t="e">
        <f>+N24+K24</f>
        <v>#REF!</v>
      </c>
      <c r="P24" s="36"/>
      <c r="Q24" s="51" t="e">
        <f>+($I24/1609.34)*5280/(100)*$H$45</f>
        <v>#REF!</v>
      </c>
      <c r="R24" s="52"/>
      <c r="S24" s="85"/>
      <c r="T24" s="53"/>
      <c r="U24" s="36"/>
      <c r="V24" s="85"/>
      <c r="W24" s="85"/>
      <c r="X24" s="85"/>
      <c r="Y24" s="85"/>
      <c r="Z24" s="85"/>
      <c r="AA24" s="51" t="e">
        <f t="shared" ref="AA24:AA42" si="1">+($I24/1609.34)*5280/(100)*$D$45</f>
        <v>#REF!</v>
      </c>
      <c r="AB24" s="52"/>
      <c r="AC24" s="53"/>
      <c r="AD24" s="36"/>
      <c r="AE24" s="51" t="e">
        <f t="shared" ref="AE24:AE42" si="2">+($I24/1609.34)*5280/(100)*$D$44</f>
        <v>#REF!</v>
      </c>
      <c r="AF24" s="52"/>
      <c r="AG24" s="53"/>
      <c r="AH24" s="36"/>
      <c r="AI24" s="62"/>
      <c r="AK24" s="21"/>
      <c r="AL24" s="87">
        <v>1</v>
      </c>
    </row>
    <row r="25" spans="2:40" s="3" customFormat="1" x14ac:dyDescent="0.3">
      <c r="B25" s="1">
        <v>15</v>
      </c>
      <c r="C25" s="1">
        <f t="shared" si="0"/>
        <v>3369.5999999999995</v>
      </c>
      <c r="D25" s="5">
        <v>4.8000000000000001E-2</v>
      </c>
      <c r="E25" s="10">
        <v>0.112</v>
      </c>
      <c r="F25" s="1">
        <v>70</v>
      </c>
      <c r="G25" s="1">
        <v>10</v>
      </c>
      <c r="H25" s="1"/>
      <c r="I25" s="90">
        <v>500</v>
      </c>
      <c r="J25" s="15">
        <f t="shared" ref="J25:J88" si="3">+I25/1609.34</f>
        <v>0.31068636832490337</v>
      </c>
      <c r="K25" s="29">
        <f t="shared" ref="K25:K88" si="4">+($I25/1609.34)*5280/(100)*$H$45</f>
        <v>12.426211987522837</v>
      </c>
      <c r="L25" s="98">
        <v>535</v>
      </c>
      <c r="M25" s="58">
        <f t="shared" ref="M25:M88" si="5">-(L24-L25)/10</f>
        <v>-1</v>
      </c>
      <c r="N25" s="58">
        <v>0</v>
      </c>
      <c r="O25" s="58">
        <f t="shared" ref="O25:O88" si="6">+K25+N25*14.8</f>
        <v>12.426211987522837</v>
      </c>
      <c r="P25" s="54">
        <f t="shared" ref="P25:P88" si="7">+O25/14.5</f>
        <v>0.85698013707054055</v>
      </c>
      <c r="Q25" s="68">
        <f t="shared" ref="Q25:Q42" si="8">+($I25/1609.34)*5280/(100)*$D$47</f>
        <v>18.278424695838044</v>
      </c>
      <c r="R25" s="65">
        <f t="shared" ref="R25:R88" si="9">+N25</f>
        <v>0</v>
      </c>
      <c r="S25" s="65">
        <f t="shared" ref="S25:S85" si="10">+T25</f>
        <v>18.278424695838044</v>
      </c>
      <c r="T25" s="65">
        <f t="shared" ref="T25:T88" si="11">+Q25+R25*14.8</f>
        <v>18.278424695838044</v>
      </c>
      <c r="U25" s="60">
        <f t="shared" ref="U25:U89" si="12">+T25/14.5</f>
        <v>1.260581013506072</v>
      </c>
      <c r="V25" s="65"/>
      <c r="W25" s="65"/>
      <c r="X25" s="65"/>
      <c r="Y25" s="65"/>
      <c r="Z25" s="65"/>
      <c r="AA25" s="68">
        <f t="shared" si="1"/>
        <v>14.550561099581195</v>
      </c>
      <c r="AB25" s="65">
        <f t="shared" ref="AB25:AB88" si="13">+N25</f>
        <v>0</v>
      </c>
      <c r="AC25" s="65">
        <f t="shared" ref="AC25:AC88" si="14">+AA25+AB25*14.8</f>
        <v>14.550561099581195</v>
      </c>
      <c r="AD25" s="60">
        <f t="shared" ref="AD25:AD88" si="15">+AC25/14.5</f>
        <v>1.00348697238491</v>
      </c>
      <c r="AE25" s="68">
        <f t="shared" si="2"/>
        <v>10.301862875464476</v>
      </c>
      <c r="AF25" s="73">
        <f t="shared" ref="AF25:AF88" si="16">+N25</f>
        <v>0</v>
      </c>
      <c r="AG25" s="65">
        <f t="shared" ref="AG25:AG88" si="17">+AE25+AF25*14.8</f>
        <v>10.301862875464476</v>
      </c>
      <c r="AH25" s="60">
        <f t="shared" ref="AH25:AH89" si="18">+AG25/14.5</f>
        <v>0.71047330175617074</v>
      </c>
      <c r="AI25" s="62"/>
      <c r="AK25" s="21"/>
      <c r="AL25" s="94"/>
      <c r="AM25" s="87"/>
      <c r="AN25" s="87"/>
    </row>
    <row r="26" spans="2:40" s="3" customFormat="1" x14ac:dyDescent="0.3">
      <c r="B26" s="1">
        <v>17</v>
      </c>
      <c r="C26" s="1">
        <f t="shared" si="0"/>
        <v>3818.88</v>
      </c>
      <c r="D26" s="5">
        <v>5.6000000000000001E-2</v>
      </c>
      <c r="E26" s="10">
        <v>0.129</v>
      </c>
      <c r="F26" s="1"/>
      <c r="I26" s="90">
        <v>1000</v>
      </c>
      <c r="J26" s="15">
        <f t="shared" si="3"/>
        <v>0.62137273664980675</v>
      </c>
      <c r="K26" s="29">
        <f t="shared" si="4"/>
        <v>24.852423975045674</v>
      </c>
      <c r="L26" s="97">
        <v>518</v>
      </c>
      <c r="M26" s="58">
        <f t="shared" si="5"/>
        <v>-1.7</v>
      </c>
      <c r="N26" s="58">
        <f t="shared" ref="N26:N89" si="19">+N25+M26</f>
        <v>-1.7</v>
      </c>
      <c r="O26" s="58">
        <f t="shared" si="6"/>
        <v>-0.30757602495432579</v>
      </c>
      <c r="P26" s="54">
        <f t="shared" si="7"/>
        <v>-2.1212139652022469E-2</v>
      </c>
      <c r="Q26" s="68">
        <f t="shared" si="8"/>
        <v>36.556849391676089</v>
      </c>
      <c r="R26" s="65">
        <f t="shared" si="9"/>
        <v>-1.7</v>
      </c>
      <c r="S26" s="65">
        <f t="shared" si="10"/>
        <v>11.396849391676088</v>
      </c>
      <c r="T26" s="65">
        <f t="shared" si="11"/>
        <v>11.396849391676088</v>
      </c>
      <c r="U26" s="60">
        <f t="shared" si="12"/>
        <v>0.78598961321904059</v>
      </c>
      <c r="V26" s="65"/>
      <c r="W26" s="65"/>
      <c r="X26" s="65"/>
      <c r="Y26" s="65"/>
      <c r="Z26" s="65"/>
      <c r="AA26" s="68">
        <f t="shared" si="1"/>
        <v>29.10112219916239</v>
      </c>
      <c r="AB26" s="65">
        <f t="shared" si="13"/>
        <v>-1.7</v>
      </c>
      <c r="AC26" s="65">
        <f t="shared" si="14"/>
        <v>3.9411221991623897</v>
      </c>
      <c r="AD26" s="60">
        <f t="shared" si="15"/>
        <v>0.27180153097671655</v>
      </c>
      <c r="AE26" s="68">
        <f t="shared" si="2"/>
        <v>20.603725750928952</v>
      </c>
      <c r="AF26" s="73">
        <f t="shared" si="16"/>
        <v>-1.7</v>
      </c>
      <c r="AG26" s="65">
        <f t="shared" si="17"/>
        <v>-4.5562742490710484</v>
      </c>
      <c r="AH26" s="60">
        <f t="shared" si="18"/>
        <v>-0.31422581028076196</v>
      </c>
      <c r="AI26" s="62"/>
      <c r="AK26" s="21"/>
      <c r="AL26" s="87"/>
    </row>
    <row r="27" spans="2:40" s="3" customFormat="1" x14ac:dyDescent="0.3">
      <c r="B27" s="1">
        <v>18</v>
      </c>
      <c r="C27" s="1">
        <f t="shared" si="0"/>
        <v>4043.5199999999995</v>
      </c>
      <c r="D27" s="5">
        <v>6.5000000000000002E-2</v>
      </c>
      <c r="E27" s="10">
        <v>0.151</v>
      </c>
      <c r="F27" s="1"/>
      <c r="I27" s="90">
        <v>1500</v>
      </c>
      <c r="J27" s="15">
        <f t="shared" si="3"/>
        <v>0.93205910497471023</v>
      </c>
      <c r="K27" s="29">
        <f t="shared" si="4"/>
        <v>37.278635962568508</v>
      </c>
      <c r="L27" s="98">
        <v>508</v>
      </c>
      <c r="M27" s="58">
        <f t="shared" si="5"/>
        <v>-1</v>
      </c>
      <c r="N27" s="58">
        <f t="shared" si="19"/>
        <v>-2.7</v>
      </c>
      <c r="O27" s="58">
        <f t="shared" si="6"/>
        <v>-2.6813640374315</v>
      </c>
      <c r="P27" s="54">
        <f t="shared" si="7"/>
        <v>-0.18492165775389655</v>
      </c>
      <c r="Q27" s="68">
        <f t="shared" si="8"/>
        <v>54.835274087514129</v>
      </c>
      <c r="R27" s="65">
        <f t="shared" si="9"/>
        <v>-2.7</v>
      </c>
      <c r="S27" s="65">
        <f t="shared" si="10"/>
        <v>14.875274087514121</v>
      </c>
      <c r="T27" s="65">
        <f t="shared" si="11"/>
        <v>14.875274087514121</v>
      </c>
      <c r="U27" s="60">
        <f t="shared" si="12"/>
        <v>1.025880971552698</v>
      </c>
      <c r="V27" s="65"/>
      <c r="W27" s="65"/>
      <c r="X27" s="65"/>
      <c r="Y27" s="65"/>
      <c r="Z27" s="65"/>
      <c r="AA27" s="68">
        <f t="shared" si="1"/>
        <v>43.651683298743585</v>
      </c>
      <c r="AB27" s="65">
        <f t="shared" si="13"/>
        <v>-2.7</v>
      </c>
      <c r="AC27" s="65">
        <f t="shared" si="14"/>
        <v>3.6916832987435768</v>
      </c>
      <c r="AD27" s="60">
        <f t="shared" si="15"/>
        <v>0.25459884818921219</v>
      </c>
      <c r="AE27" s="68">
        <f t="shared" si="2"/>
        <v>30.905588626393428</v>
      </c>
      <c r="AF27" s="73">
        <f t="shared" si="16"/>
        <v>-2.7</v>
      </c>
      <c r="AG27" s="65">
        <f t="shared" si="17"/>
        <v>-9.0544113736065803</v>
      </c>
      <c r="AH27" s="60">
        <f t="shared" si="18"/>
        <v>-0.62444216369700556</v>
      </c>
      <c r="AI27" s="62"/>
      <c r="AK27" s="21"/>
      <c r="AL27" s="87"/>
    </row>
    <row r="28" spans="2:40" s="3" customFormat="1" x14ac:dyDescent="0.3">
      <c r="B28" s="1">
        <v>19</v>
      </c>
      <c r="C28" s="1">
        <f t="shared" si="0"/>
        <v>4268.16</v>
      </c>
      <c r="D28" s="5">
        <v>7.3999999999999996E-2</v>
      </c>
      <c r="E28" s="10">
        <v>0.16800000000000001</v>
      </c>
      <c r="F28" s="1"/>
      <c r="I28" s="90">
        <v>2000</v>
      </c>
      <c r="J28" s="15">
        <f t="shared" si="3"/>
        <v>1.2427454732996135</v>
      </c>
      <c r="K28" s="29">
        <f t="shared" si="4"/>
        <v>49.704847950091349</v>
      </c>
      <c r="L28" s="97">
        <v>505</v>
      </c>
      <c r="M28" s="58">
        <f t="shared" si="5"/>
        <v>-0.3</v>
      </c>
      <c r="N28" s="44">
        <f t="shared" si="19"/>
        <v>-3</v>
      </c>
      <c r="O28" s="58">
        <f t="shared" si="6"/>
        <v>5.304847950091343</v>
      </c>
      <c r="P28" s="54">
        <f t="shared" si="7"/>
        <v>0.36585158276492019</v>
      </c>
      <c r="Q28" s="68">
        <f t="shared" si="8"/>
        <v>73.113698783352177</v>
      </c>
      <c r="R28" s="65">
        <f t="shared" si="9"/>
        <v>-3</v>
      </c>
      <c r="S28" s="65">
        <f t="shared" si="10"/>
        <v>28.713698783352172</v>
      </c>
      <c r="T28" s="65">
        <f t="shared" si="11"/>
        <v>28.713698783352172</v>
      </c>
      <c r="U28" s="60">
        <f t="shared" si="12"/>
        <v>1.9802550885070462</v>
      </c>
      <c r="V28" s="65"/>
      <c r="W28" s="65"/>
      <c r="X28" s="65"/>
      <c r="Y28" s="65"/>
      <c r="Z28" s="65"/>
      <c r="AA28" s="68">
        <f t="shared" si="1"/>
        <v>58.20224439832478</v>
      </c>
      <c r="AB28" s="65">
        <f t="shared" si="13"/>
        <v>-3</v>
      </c>
      <c r="AC28" s="65">
        <f t="shared" si="14"/>
        <v>13.802244398324774</v>
      </c>
      <c r="AD28" s="60">
        <f t="shared" si="15"/>
        <v>0.95187892402239815</v>
      </c>
      <c r="AE28" s="68">
        <f t="shared" si="2"/>
        <v>41.207451501857904</v>
      </c>
      <c r="AF28" s="73">
        <f t="shared" si="16"/>
        <v>-3</v>
      </c>
      <c r="AG28" s="65">
        <f t="shared" si="17"/>
        <v>-3.1925484981421022</v>
      </c>
      <c r="AH28" s="60">
        <f t="shared" si="18"/>
        <v>-0.22017575849255877</v>
      </c>
      <c r="AI28" s="62"/>
      <c r="AK28" s="21"/>
      <c r="AL28" s="87"/>
    </row>
    <row r="29" spans="2:40" s="3" customFormat="1" x14ac:dyDescent="0.3">
      <c r="B29" s="1">
        <v>20</v>
      </c>
      <c r="C29" s="1">
        <f t="shared" si="0"/>
        <v>4492.8</v>
      </c>
      <c r="D29" s="5">
        <v>8.2000000000000003E-2</v>
      </c>
      <c r="E29" s="10">
        <v>0.19</v>
      </c>
      <c r="F29" s="1"/>
      <c r="I29" s="90">
        <v>2500</v>
      </c>
      <c r="J29" s="15">
        <f t="shared" si="3"/>
        <v>1.553431841624517</v>
      </c>
      <c r="K29" s="29">
        <f t="shared" si="4"/>
        <v>62.131059937614182</v>
      </c>
      <c r="L29" s="98">
        <v>504</v>
      </c>
      <c r="M29" s="58">
        <f t="shared" si="5"/>
        <v>-0.1</v>
      </c>
      <c r="N29" s="44">
        <f t="shared" si="19"/>
        <v>-3.1</v>
      </c>
      <c r="O29" s="58">
        <f t="shared" si="6"/>
        <v>16.25105993761418</v>
      </c>
      <c r="P29" s="54">
        <f t="shared" si="7"/>
        <v>1.1207627543182193</v>
      </c>
      <c r="Q29" s="68">
        <f t="shared" si="8"/>
        <v>91.392123479190218</v>
      </c>
      <c r="R29" s="65">
        <f t="shared" si="9"/>
        <v>-3.1</v>
      </c>
      <c r="S29" s="65">
        <f t="shared" si="10"/>
        <v>45.512123479190215</v>
      </c>
      <c r="T29" s="65">
        <f t="shared" si="11"/>
        <v>45.512123479190215</v>
      </c>
      <c r="U29" s="60">
        <f t="shared" si="12"/>
        <v>3.1387671364958769</v>
      </c>
      <c r="V29" s="65"/>
      <c r="W29" s="65"/>
      <c r="X29" s="65"/>
      <c r="Y29" s="65"/>
      <c r="Z29" s="65"/>
      <c r="AA29" s="68">
        <f t="shared" si="1"/>
        <v>72.752805497905968</v>
      </c>
      <c r="AB29" s="65">
        <f t="shared" si="13"/>
        <v>-3.1</v>
      </c>
      <c r="AC29" s="65">
        <f t="shared" si="14"/>
        <v>26.872805497905965</v>
      </c>
      <c r="AD29" s="60">
        <f t="shared" si="15"/>
        <v>1.8532969308900666</v>
      </c>
      <c r="AE29" s="68">
        <f t="shared" si="2"/>
        <v>51.509314377322383</v>
      </c>
      <c r="AF29" s="73">
        <f t="shared" si="16"/>
        <v>-3.1</v>
      </c>
      <c r="AG29" s="65">
        <f t="shared" si="17"/>
        <v>5.6293143773223804</v>
      </c>
      <c r="AH29" s="60">
        <f t="shared" si="18"/>
        <v>0.38822857774637104</v>
      </c>
      <c r="AI29" s="62"/>
      <c r="AK29" s="21"/>
      <c r="AL29" s="87"/>
    </row>
    <row r="30" spans="2:40" s="3" customFormat="1" x14ac:dyDescent="0.3">
      <c r="B30" s="1">
        <v>21</v>
      </c>
      <c r="C30" s="1">
        <f t="shared" si="0"/>
        <v>4717.4400000000005</v>
      </c>
      <c r="D30" s="5">
        <v>9.0999999999999998E-2</v>
      </c>
      <c r="E30" s="10">
        <v>0.21199999999999999</v>
      </c>
      <c r="F30" s="1"/>
      <c r="I30" s="90">
        <v>3000</v>
      </c>
      <c r="J30" s="15">
        <f t="shared" si="3"/>
        <v>1.8641182099494205</v>
      </c>
      <c r="K30" s="29">
        <f t="shared" si="4"/>
        <v>74.557271925137016</v>
      </c>
      <c r="L30" s="97">
        <v>503</v>
      </c>
      <c r="M30" s="58">
        <f t="shared" si="5"/>
        <v>-0.1</v>
      </c>
      <c r="N30" s="44">
        <f t="shared" si="19"/>
        <v>-3.2</v>
      </c>
      <c r="O30" s="44">
        <f t="shared" si="6"/>
        <v>27.197271925137009</v>
      </c>
      <c r="P30" s="54">
        <f t="shared" si="7"/>
        <v>1.8756739258715178</v>
      </c>
      <c r="Q30" s="68">
        <f t="shared" si="8"/>
        <v>109.67054817502826</v>
      </c>
      <c r="R30" s="65">
        <f t="shared" si="9"/>
        <v>-3.2</v>
      </c>
      <c r="S30" s="65">
        <f t="shared" si="10"/>
        <v>62.310548175028252</v>
      </c>
      <c r="T30" s="65">
        <f t="shared" si="11"/>
        <v>62.310548175028252</v>
      </c>
      <c r="U30" s="60">
        <f t="shared" si="12"/>
        <v>4.2972791844847071</v>
      </c>
      <c r="V30" s="65"/>
      <c r="W30" s="65"/>
      <c r="X30" s="65"/>
      <c r="Y30" s="65"/>
      <c r="Z30" s="65"/>
      <c r="AA30" s="68">
        <f t="shared" si="1"/>
        <v>87.30336659748717</v>
      </c>
      <c r="AB30" s="65">
        <f t="shared" si="13"/>
        <v>-3.2</v>
      </c>
      <c r="AC30" s="65">
        <f t="shared" si="14"/>
        <v>39.943366597487163</v>
      </c>
      <c r="AD30" s="60">
        <f t="shared" si="15"/>
        <v>2.7547149377577353</v>
      </c>
      <c r="AE30" s="68">
        <f t="shared" si="2"/>
        <v>61.811177252786855</v>
      </c>
      <c r="AF30" s="73">
        <f t="shared" si="16"/>
        <v>-3.2</v>
      </c>
      <c r="AG30" s="65">
        <f t="shared" si="17"/>
        <v>14.451177252786849</v>
      </c>
      <c r="AH30" s="60">
        <f t="shared" si="18"/>
        <v>0.99663291398529996</v>
      </c>
      <c r="AI30" s="62"/>
      <c r="AJ30" s="3" t="s">
        <v>62</v>
      </c>
      <c r="AK30" s="21">
        <v>2930</v>
      </c>
      <c r="AL30" s="87"/>
    </row>
    <row r="31" spans="2:40" s="3" customFormat="1" x14ac:dyDescent="0.3">
      <c r="B31" s="1">
        <v>23</v>
      </c>
      <c r="C31" s="1">
        <f t="shared" si="0"/>
        <v>5166.72</v>
      </c>
      <c r="D31" s="5">
        <v>0.1</v>
      </c>
      <c r="E31" s="10">
        <v>0.23300000000000001</v>
      </c>
      <c r="F31" s="1"/>
      <c r="I31" s="90">
        <v>3500</v>
      </c>
      <c r="J31" s="29">
        <f t="shared" si="3"/>
        <v>2.1748045782743239</v>
      </c>
      <c r="K31" s="29">
        <f t="shared" si="4"/>
        <v>86.983483912659878</v>
      </c>
      <c r="L31" s="98">
        <v>502</v>
      </c>
      <c r="M31" s="58">
        <f t="shared" si="5"/>
        <v>-0.1</v>
      </c>
      <c r="N31" s="44">
        <f t="shared" si="19"/>
        <v>-3.3000000000000003</v>
      </c>
      <c r="O31" s="44">
        <f t="shared" si="6"/>
        <v>38.143483912659875</v>
      </c>
      <c r="P31" s="61">
        <f t="shared" si="7"/>
        <v>2.6305850974248188</v>
      </c>
      <c r="Q31" s="68">
        <f t="shared" si="8"/>
        <v>127.94897287086634</v>
      </c>
      <c r="R31" s="65">
        <f t="shared" si="9"/>
        <v>-3.3000000000000003</v>
      </c>
      <c r="S31" s="65">
        <f t="shared" si="10"/>
        <v>79.108972870866339</v>
      </c>
      <c r="T31" s="65">
        <f t="shared" si="11"/>
        <v>79.108972870866339</v>
      </c>
      <c r="U31" s="60">
        <f t="shared" si="12"/>
        <v>5.4557912324735405</v>
      </c>
      <c r="V31" s="65"/>
      <c r="W31" s="65"/>
      <c r="X31" s="65"/>
      <c r="Y31" s="65"/>
      <c r="Z31" s="65"/>
      <c r="AA31" s="68">
        <f t="shared" si="1"/>
        <v>101.85392769706839</v>
      </c>
      <c r="AB31" s="65">
        <f t="shared" si="13"/>
        <v>-3.3000000000000003</v>
      </c>
      <c r="AC31" s="65">
        <f t="shared" si="14"/>
        <v>53.013927697068382</v>
      </c>
      <c r="AD31" s="60">
        <f t="shared" si="15"/>
        <v>3.6561329446254058</v>
      </c>
      <c r="AE31" s="68">
        <f t="shared" si="2"/>
        <v>72.113040128251342</v>
      </c>
      <c r="AF31" s="73">
        <f t="shared" si="16"/>
        <v>-3.3000000000000003</v>
      </c>
      <c r="AG31" s="65">
        <f t="shared" si="17"/>
        <v>23.273040128251338</v>
      </c>
      <c r="AH31" s="60">
        <f t="shared" si="18"/>
        <v>1.6050372502242303</v>
      </c>
      <c r="AI31" s="62"/>
      <c r="AK31" s="21"/>
      <c r="AL31" s="87"/>
    </row>
    <row r="32" spans="2:40" s="3" customFormat="1" x14ac:dyDescent="0.3">
      <c r="B32" s="1">
        <v>24</v>
      </c>
      <c r="C32" s="1">
        <f t="shared" si="0"/>
        <v>5391.36</v>
      </c>
      <c r="D32" s="5">
        <v>0.113</v>
      </c>
      <c r="E32" s="10">
        <v>0.26</v>
      </c>
      <c r="F32" s="1"/>
      <c r="I32" s="90">
        <v>4000</v>
      </c>
      <c r="J32" s="15">
        <f t="shared" si="3"/>
        <v>2.485490946599227</v>
      </c>
      <c r="K32" s="29">
        <f t="shared" si="4"/>
        <v>99.409695900182697</v>
      </c>
      <c r="L32" s="97">
        <v>502</v>
      </c>
      <c r="M32" s="58">
        <f t="shared" si="5"/>
        <v>0</v>
      </c>
      <c r="N32" s="44">
        <f t="shared" si="19"/>
        <v>-3.3000000000000003</v>
      </c>
      <c r="O32" s="44">
        <f t="shared" si="6"/>
        <v>50.569695900182694</v>
      </c>
      <c r="P32" s="61">
        <f t="shared" si="7"/>
        <v>3.4875652344953583</v>
      </c>
      <c r="Q32" s="68">
        <f t="shared" si="8"/>
        <v>146.22739756670435</v>
      </c>
      <c r="R32" s="65">
        <f t="shared" si="9"/>
        <v>-3.3000000000000003</v>
      </c>
      <c r="S32" s="65">
        <f t="shared" si="10"/>
        <v>97.387397566704351</v>
      </c>
      <c r="T32" s="65">
        <f t="shared" si="11"/>
        <v>97.387397566704351</v>
      </c>
      <c r="U32" s="60">
        <f t="shared" si="12"/>
        <v>6.7163722459796107</v>
      </c>
      <c r="V32" s="65"/>
      <c r="W32" s="65"/>
      <c r="X32" s="65"/>
      <c r="Y32" s="65"/>
      <c r="Z32" s="65"/>
      <c r="AA32" s="68">
        <f t="shared" si="1"/>
        <v>116.40448879664956</v>
      </c>
      <c r="AB32" s="65">
        <f t="shared" si="13"/>
        <v>-3.3000000000000003</v>
      </c>
      <c r="AC32" s="65">
        <f t="shared" si="14"/>
        <v>67.564488796649556</v>
      </c>
      <c r="AD32" s="60">
        <f t="shared" si="15"/>
        <v>4.6596199170103141</v>
      </c>
      <c r="AE32" s="68">
        <f t="shared" si="2"/>
        <v>82.414903003715807</v>
      </c>
      <c r="AF32" s="73">
        <f t="shared" si="16"/>
        <v>-3.3000000000000003</v>
      </c>
      <c r="AG32" s="65">
        <f t="shared" si="17"/>
        <v>33.574903003715804</v>
      </c>
      <c r="AH32" s="60">
        <f t="shared" si="18"/>
        <v>2.3155105519804002</v>
      </c>
      <c r="AI32" s="72"/>
      <c r="AK32" s="21"/>
      <c r="AL32" s="87"/>
    </row>
    <row r="33" spans="2:38" s="3" customFormat="1" x14ac:dyDescent="0.3">
      <c r="B33" s="1">
        <v>26</v>
      </c>
      <c r="C33" s="1">
        <f t="shared" si="0"/>
        <v>5840.64</v>
      </c>
      <c r="D33" s="5">
        <v>0.13</v>
      </c>
      <c r="E33" s="10">
        <v>0.311</v>
      </c>
      <c r="F33" s="1"/>
      <c r="I33" s="90">
        <v>4500</v>
      </c>
      <c r="J33" s="27">
        <f t="shared" si="3"/>
        <v>2.7961773149241305</v>
      </c>
      <c r="K33" s="29">
        <f t="shared" si="4"/>
        <v>111.83590788770553</v>
      </c>
      <c r="L33" s="98">
        <v>501</v>
      </c>
      <c r="M33" s="58">
        <f t="shared" si="5"/>
        <v>-0.1</v>
      </c>
      <c r="N33" s="44">
        <f t="shared" si="19"/>
        <v>-3.4000000000000004</v>
      </c>
      <c r="O33" s="44">
        <f t="shared" si="6"/>
        <v>61.515907887705524</v>
      </c>
      <c r="P33" s="61">
        <f t="shared" si="7"/>
        <v>4.2424764060486568</v>
      </c>
      <c r="Q33" s="68">
        <f t="shared" si="8"/>
        <v>164.50582226254241</v>
      </c>
      <c r="R33" s="65">
        <f t="shared" si="9"/>
        <v>-3.4000000000000004</v>
      </c>
      <c r="S33" s="65">
        <f t="shared" si="10"/>
        <v>114.1858222625424</v>
      </c>
      <c r="T33" s="65">
        <f t="shared" si="11"/>
        <v>114.1858222625424</v>
      </c>
      <c r="U33" s="60">
        <f t="shared" si="12"/>
        <v>7.8748842939684414</v>
      </c>
      <c r="V33" s="65"/>
      <c r="W33" s="65"/>
      <c r="X33" s="65"/>
      <c r="Y33" s="65"/>
      <c r="Z33" s="65"/>
      <c r="AA33" s="68">
        <f t="shared" si="1"/>
        <v>130.95504989623075</v>
      </c>
      <c r="AB33" s="65">
        <f t="shared" si="13"/>
        <v>-3.4000000000000004</v>
      </c>
      <c r="AC33" s="65">
        <f t="shared" si="14"/>
        <v>80.63504989623074</v>
      </c>
      <c r="AD33" s="60">
        <f t="shared" si="15"/>
        <v>5.5610379238779819</v>
      </c>
      <c r="AE33" s="68">
        <f t="shared" si="2"/>
        <v>92.716765879180286</v>
      </c>
      <c r="AF33" s="73">
        <f t="shared" si="16"/>
        <v>-3.4000000000000004</v>
      </c>
      <c r="AG33" s="65">
        <f t="shared" si="17"/>
        <v>42.396765879180279</v>
      </c>
      <c r="AH33" s="60">
        <f t="shared" si="18"/>
        <v>2.9239148882193295</v>
      </c>
      <c r="AI33" s="62"/>
      <c r="AK33" s="21"/>
      <c r="AL33" s="87"/>
    </row>
    <row r="34" spans="2:38" s="3" customFormat="1" x14ac:dyDescent="0.3">
      <c r="B34" s="1">
        <v>29</v>
      </c>
      <c r="C34" s="1">
        <f t="shared" si="0"/>
        <v>6514.5599999999995</v>
      </c>
      <c r="D34" s="5">
        <v>0.152</v>
      </c>
      <c r="E34" s="10">
        <v>0.36699999999999999</v>
      </c>
      <c r="F34" s="1"/>
      <c r="I34" s="90">
        <v>5000</v>
      </c>
      <c r="J34" s="15">
        <f t="shared" si="3"/>
        <v>3.1068636832490339</v>
      </c>
      <c r="K34" s="29">
        <f t="shared" si="4"/>
        <v>124.26211987522836</v>
      </c>
      <c r="L34" s="97">
        <v>501</v>
      </c>
      <c r="M34" s="58">
        <f t="shared" si="5"/>
        <v>0</v>
      </c>
      <c r="N34" s="44">
        <f t="shared" si="19"/>
        <v>-3.4000000000000004</v>
      </c>
      <c r="O34" s="44">
        <f t="shared" si="6"/>
        <v>73.942119875228357</v>
      </c>
      <c r="P34" s="61">
        <f t="shared" si="7"/>
        <v>5.0994565431191967</v>
      </c>
      <c r="Q34" s="68">
        <f t="shared" si="8"/>
        <v>182.78424695838044</v>
      </c>
      <c r="R34" s="65">
        <f t="shared" si="9"/>
        <v>-3.4000000000000004</v>
      </c>
      <c r="S34" s="65">
        <f t="shared" si="10"/>
        <v>132.46424695838044</v>
      </c>
      <c r="T34" s="65">
        <f t="shared" si="11"/>
        <v>132.46424695838044</v>
      </c>
      <c r="U34" s="60">
        <f t="shared" si="12"/>
        <v>9.1354653074745134</v>
      </c>
      <c r="V34" s="65"/>
      <c r="W34" s="65"/>
      <c r="X34" s="65"/>
      <c r="Y34" s="65"/>
      <c r="Z34" s="65"/>
      <c r="AA34" s="68">
        <f t="shared" si="1"/>
        <v>145.50561099581194</v>
      </c>
      <c r="AB34" s="65">
        <f t="shared" si="13"/>
        <v>-3.4000000000000004</v>
      </c>
      <c r="AC34" s="65">
        <f t="shared" si="14"/>
        <v>95.185610995811928</v>
      </c>
      <c r="AD34" s="60">
        <f t="shared" si="15"/>
        <v>6.5645248962628919</v>
      </c>
      <c r="AE34" s="68">
        <f t="shared" si="2"/>
        <v>103.01862875464477</v>
      </c>
      <c r="AF34" s="73">
        <f t="shared" si="16"/>
        <v>-3.4000000000000004</v>
      </c>
      <c r="AG34" s="65">
        <f t="shared" si="17"/>
        <v>52.698628754644758</v>
      </c>
      <c r="AH34" s="60">
        <f t="shared" si="18"/>
        <v>3.6343881899755006</v>
      </c>
      <c r="AI34" s="62"/>
      <c r="AK34" s="21"/>
      <c r="AL34" s="87"/>
    </row>
    <row r="35" spans="2:38" s="3" customFormat="1" x14ac:dyDescent="0.3">
      <c r="B35" s="1">
        <v>31</v>
      </c>
      <c r="C35" s="1">
        <f t="shared" si="0"/>
        <v>6963.84</v>
      </c>
      <c r="D35" s="5">
        <v>0.17299999999999999</v>
      </c>
      <c r="E35" s="10">
        <v>0.42899999999999999</v>
      </c>
      <c r="F35" s="1"/>
      <c r="I35" s="90">
        <v>5500</v>
      </c>
      <c r="J35" s="15">
        <f t="shared" si="3"/>
        <v>3.4175500515739374</v>
      </c>
      <c r="K35" s="29">
        <f t="shared" si="4"/>
        <v>136.68833186275123</v>
      </c>
      <c r="L35" s="98">
        <v>500</v>
      </c>
      <c r="M35" s="58">
        <f t="shared" si="5"/>
        <v>-0.1</v>
      </c>
      <c r="N35" s="44">
        <f t="shared" si="19"/>
        <v>-3.5000000000000004</v>
      </c>
      <c r="O35" s="44">
        <f t="shared" si="6"/>
        <v>84.888331862751215</v>
      </c>
      <c r="P35" s="61">
        <f t="shared" si="7"/>
        <v>5.8543677146724979</v>
      </c>
      <c r="Q35" s="68">
        <f t="shared" si="8"/>
        <v>201.06267165421852</v>
      </c>
      <c r="R35" s="65">
        <f t="shared" si="9"/>
        <v>-3.5000000000000004</v>
      </c>
      <c r="S35" s="65">
        <f t="shared" si="10"/>
        <v>149.26267165421851</v>
      </c>
      <c r="T35" s="65">
        <f t="shared" si="11"/>
        <v>149.26267165421851</v>
      </c>
      <c r="U35" s="60">
        <f t="shared" si="12"/>
        <v>10.293977355463346</v>
      </c>
      <c r="V35" s="65"/>
      <c r="W35" s="65"/>
      <c r="X35" s="65"/>
      <c r="Y35" s="65"/>
      <c r="Z35" s="65"/>
      <c r="AA35" s="69">
        <f t="shared" si="1"/>
        <v>160.05617209539318</v>
      </c>
      <c r="AB35" s="65">
        <f t="shared" si="13"/>
        <v>-3.5000000000000004</v>
      </c>
      <c r="AC35" s="65">
        <f t="shared" si="14"/>
        <v>108.25617209539317</v>
      </c>
      <c r="AD35" s="60">
        <f t="shared" si="15"/>
        <v>7.4659429031305633</v>
      </c>
      <c r="AE35" s="68">
        <f t="shared" si="2"/>
        <v>113.32049163010926</v>
      </c>
      <c r="AF35" s="73">
        <f t="shared" si="16"/>
        <v>-3.5000000000000004</v>
      </c>
      <c r="AG35" s="65">
        <f t="shared" si="17"/>
        <v>61.520491630109248</v>
      </c>
      <c r="AH35" s="60">
        <f t="shared" si="18"/>
        <v>4.2427925262144308</v>
      </c>
      <c r="AI35" s="62"/>
      <c r="AK35" s="21">
        <v>5770</v>
      </c>
      <c r="AL35" s="87"/>
    </row>
    <row r="36" spans="2:38" s="3" customFormat="1" x14ac:dyDescent="0.3">
      <c r="B36" s="1">
        <v>33</v>
      </c>
      <c r="C36" s="1">
        <f t="shared" si="0"/>
        <v>7413.12</v>
      </c>
      <c r="D36" s="5">
        <v>0.19900000000000001</v>
      </c>
      <c r="E36" s="10">
        <v>0.498</v>
      </c>
      <c r="F36" s="1"/>
      <c r="I36" s="90">
        <v>6000</v>
      </c>
      <c r="J36" s="15">
        <f t="shared" si="3"/>
        <v>3.7282364198988409</v>
      </c>
      <c r="K36" s="29">
        <f t="shared" si="4"/>
        <v>149.11454385027403</v>
      </c>
      <c r="L36" s="97">
        <v>462</v>
      </c>
      <c r="M36" s="58">
        <f t="shared" si="5"/>
        <v>-3.8</v>
      </c>
      <c r="N36" s="44">
        <f t="shared" si="19"/>
        <v>-7.3000000000000007</v>
      </c>
      <c r="O36" s="44">
        <f t="shared" si="6"/>
        <v>41.074543850274011</v>
      </c>
      <c r="P36" s="61">
        <f t="shared" si="7"/>
        <v>2.8327271620878629</v>
      </c>
      <c r="Q36" s="68">
        <f t="shared" si="8"/>
        <v>219.34109635005652</v>
      </c>
      <c r="R36" s="65">
        <f t="shared" si="9"/>
        <v>-7.3000000000000007</v>
      </c>
      <c r="S36" s="65">
        <f t="shared" si="10"/>
        <v>111.3010963500565</v>
      </c>
      <c r="T36" s="65">
        <f t="shared" si="11"/>
        <v>111.3010963500565</v>
      </c>
      <c r="U36" s="60">
        <f t="shared" si="12"/>
        <v>7.6759376793142415</v>
      </c>
      <c r="V36" s="65"/>
      <c r="W36" s="65"/>
      <c r="X36" s="65"/>
      <c r="Y36" s="65"/>
      <c r="Z36" s="65"/>
      <c r="AA36" s="68">
        <f t="shared" si="1"/>
        <v>174.60673319497434</v>
      </c>
      <c r="AB36" s="65">
        <f t="shared" si="13"/>
        <v>-7.3000000000000007</v>
      </c>
      <c r="AC36" s="65">
        <f t="shared" si="14"/>
        <v>66.566733194974319</v>
      </c>
      <c r="AD36" s="60">
        <f t="shared" si="15"/>
        <v>4.590809185860298</v>
      </c>
      <c r="AE36" s="68">
        <f t="shared" si="2"/>
        <v>123.62235450557371</v>
      </c>
      <c r="AF36" s="73">
        <f t="shared" si="16"/>
        <v>-7.3000000000000007</v>
      </c>
      <c r="AG36" s="65">
        <f t="shared" si="17"/>
        <v>15.58235450557369</v>
      </c>
      <c r="AH36" s="60">
        <f t="shared" si="18"/>
        <v>1.074645138315427</v>
      </c>
      <c r="AI36" s="62"/>
      <c r="AK36" s="21"/>
      <c r="AL36" s="87"/>
    </row>
    <row r="37" spans="2:38" s="3" customFormat="1" x14ac:dyDescent="0.3">
      <c r="B37" s="19">
        <v>36</v>
      </c>
      <c r="C37" s="1">
        <f t="shared" si="0"/>
        <v>8087.0399999999991</v>
      </c>
      <c r="D37" s="5">
        <v>0.22900000000000001</v>
      </c>
      <c r="E37" s="28">
        <v>0.55800000000000005</v>
      </c>
      <c r="F37" s="1"/>
      <c r="I37" s="90">
        <v>6500</v>
      </c>
      <c r="J37" s="29">
        <f t="shared" si="3"/>
        <v>4.0389227882237444</v>
      </c>
      <c r="K37" s="29">
        <f t="shared" si="4"/>
        <v>161.54075583779689</v>
      </c>
      <c r="L37" s="98">
        <v>423</v>
      </c>
      <c r="M37" s="58">
        <f t="shared" si="5"/>
        <v>-3.9</v>
      </c>
      <c r="N37" s="44">
        <f t="shared" si="19"/>
        <v>-11.200000000000001</v>
      </c>
      <c r="O37" s="44">
        <f t="shared" si="6"/>
        <v>-4.2192441622031254</v>
      </c>
      <c r="P37" s="61">
        <f t="shared" si="7"/>
        <v>-0.29098235601400863</v>
      </c>
      <c r="Q37" s="68">
        <f t="shared" si="8"/>
        <v>237.6195210458946</v>
      </c>
      <c r="R37" s="65">
        <f t="shared" si="9"/>
        <v>-11.200000000000001</v>
      </c>
      <c r="S37" s="65">
        <f t="shared" si="10"/>
        <v>71.859521045894581</v>
      </c>
      <c r="T37" s="65">
        <f t="shared" si="11"/>
        <v>71.859521045894581</v>
      </c>
      <c r="U37" s="60">
        <f t="shared" si="12"/>
        <v>4.9558290376479022</v>
      </c>
      <c r="V37" s="65"/>
      <c r="W37" s="65"/>
      <c r="X37" s="65"/>
      <c r="Y37" s="65"/>
      <c r="Z37" s="65"/>
      <c r="AA37" s="68">
        <f t="shared" si="1"/>
        <v>189.15729429455556</v>
      </c>
      <c r="AB37" s="65">
        <f t="shared" si="13"/>
        <v>-11.200000000000001</v>
      </c>
      <c r="AC37" s="65">
        <f t="shared" si="14"/>
        <v>23.397294294555536</v>
      </c>
      <c r="AD37" s="60">
        <f t="shared" si="15"/>
        <v>1.6136065030727955</v>
      </c>
      <c r="AE37" s="68">
        <f t="shared" si="2"/>
        <v>133.9242173810382</v>
      </c>
      <c r="AF37" s="73">
        <f t="shared" si="16"/>
        <v>-11.200000000000001</v>
      </c>
      <c r="AG37" s="65">
        <f t="shared" si="17"/>
        <v>-31.835782618961815</v>
      </c>
      <c r="AH37" s="60">
        <f t="shared" si="18"/>
        <v>-2.1955712151008147</v>
      </c>
      <c r="AI37" s="62"/>
      <c r="AK37" s="21"/>
      <c r="AL37" s="87"/>
    </row>
    <row r="38" spans="2:38" s="3" customFormat="1" x14ac:dyDescent="0.3">
      <c r="B38" s="1">
        <v>38</v>
      </c>
      <c r="C38" s="1">
        <f t="shared" si="0"/>
        <v>8536.32</v>
      </c>
      <c r="D38" s="5">
        <v>0.26</v>
      </c>
      <c r="E38" s="10">
        <v>0.63600000000000001</v>
      </c>
      <c r="F38" s="1"/>
      <c r="I38" s="90">
        <v>7000</v>
      </c>
      <c r="J38" s="29">
        <f t="shared" si="3"/>
        <v>4.3496091565486479</v>
      </c>
      <c r="K38" s="29">
        <f t="shared" si="4"/>
        <v>173.96696782531976</v>
      </c>
      <c r="L38" s="97">
        <v>392</v>
      </c>
      <c r="M38" s="58">
        <f t="shared" si="5"/>
        <v>-3.1</v>
      </c>
      <c r="N38" s="44">
        <f t="shared" si="19"/>
        <v>-14.3</v>
      </c>
      <c r="O38" s="44">
        <f t="shared" si="6"/>
        <v>-37.673032174680259</v>
      </c>
      <c r="P38" s="61">
        <f t="shared" si="7"/>
        <v>-2.5981401499779491</v>
      </c>
      <c r="Q38" s="68">
        <f t="shared" si="8"/>
        <v>255.89794574173268</v>
      </c>
      <c r="R38" s="65">
        <f t="shared" si="9"/>
        <v>-14.3</v>
      </c>
      <c r="S38" s="65">
        <f t="shared" si="10"/>
        <v>44.257945741732669</v>
      </c>
      <c r="T38" s="65">
        <f t="shared" si="11"/>
        <v>44.257945741732669</v>
      </c>
      <c r="U38" s="60">
        <f t="shared" si="12"/>
        <v>3.0522721201194942</v>
      </c>
      <c r="V38" s="65"/>
      <c r="W38" s="65"/>
      <c r="X38" s="65"/>
      <c r="Y38" s="65"/>
      <c r="Z38" s="65"/>
      <c r="AA38" s="68">
        <f t="shared" si="1"/>
        <v>203.70785539413677</v>
      </c>
      <c r="AB38" s="65">
        <f t="shared" si="13"/>
        <v>-14.3</v>
      </c>
      <c r="AC38" s="65">
        <f t="shared" si="14"/>
        <v>-7.9321446058632432</v>
      </c>
      <c r="AD38" s="60">
        <f t="shared" si="15"/>
        <v>-0.54704445557677539</v>
      </c>
      <c r="AE38" s="68">
        <f t="shared" si="2"/>
        <v>144.22608025650268</v>
      </c>
      <c r="AF38" s="73">
        <f t="shared" si="16"/>
        <v>-14.3</v>
      </c>
      <c r="AG38" s="65">
        <f t="shared" si="17"/>
        <v>-67.413919743497331</v>
      </c>
      <c r="AH38" s="60">
        <f t="shared" si="18"/>
        <v>-4.6492358443791266</v>
      </c>
      <c r="AI38" s="72"/>
      <c r="AK38" s="21"/>
      <c r="AL38" s="87"/>
    </row>
    <row r="39" spans="2:38" s="3" customFormat="1" x14ac:dyDescent="0.3">
      <c r="B39" s="1">
        <v>40</v>
      </c>
      <c r="C39" s="1">
        <f t="shared" si="0"/>
        <v>8985.6</v>
      </c>
      <c r="D39" s="5">
        <v>0.377</v>
      </c>
      <c r="E39" s="10">
        <v>0.71799999999999997</v>
      </c>
      <c r="F39" s="1"/>
      <c r="I39" s="90">
        <v>7500</v>
      </c>
      <c r="J39" s="29">
        <f t="shared" si="3"/>
        <v>4.6602955248735505</v>
      </c>
      <c r="K39" s="29">
        <f t="shared" si="4"/>
        <v>186.39317981284253</v>
      </c>
      <c r="L39" s="98">
        <v>360</v>
      </c>
      <c r="M39" s="58">
        <f t="shared" si="5"/>
        <v>-3.2</v>
      </c>
      <c r="N39" s="44">
        <f t="shared" si="19"/>
        <v>-17.5</v>
      </c>
      <c r="O39" s="44">
        <f t="shared" si="6"/>
        <v>-72.606820187157467</v>
      </c>
      <c r="P39" s="61">
        <f t="shared" si="7"/>
        <v>-5.0073669094591358</v>
      </c>
      <c r="Q39" s="68">
        <f t="shared" si="8"/>
        <v>274.17637043757065</v>
      </c>
      <c r="R39" s="65">
        <f t="shared" si="9"/>
        <v>-17.5</v>
      </c>
      <c r="S39" s="65">
        <f t="shared" si="10"/>
        <v>15.176370437570654</v>
      </c>
      <c r="T39" s="65">
        <f t="shared" si="11"/>
        <v>15.176370437570654</v>
      </c>
      <c r="U39" s="60">
        <f t="shared" si="12"/>
        <v>1.0466462370738383</v>
      </c>
      <c r="V39" s="65"/>
      <c r="W39" s="65"/>
      <c r="X39" s="65"/>
      <c r="Y39" s="65"/>
      <c r="Z39" s="65"/>
      <c r="AA39" s="68">
        <f t="shared" si="1"/>
        <v>218.2584164937179</v>
      </c>
      <c r="AB39" s="65">
        <f t="shared" si="13"/>
        <v>-17.5</v>
      </c>
      <c r="AC39" s="65">
        <f t="shared" si="14"/>
        <v>-40.741583506282097</v>
      </c>
      <c r="AD39" s="60">
        <f t="shared" si="15"/>
        <v>-2.8097643797435929</v>
      </c>
      <c r="AE39" s="68">
        <f t="shared" si="2"/>
        <v>154.52794313196713</v>
      </c>
      <c r="AF39" s="73">
        <f t="shared" si="16"/>
        <v>-17.5</v>
      </c>
      <c r="AG39" s="65">
        <f t="shared" si="17"/>
        <v>-104.47205686803287</v>
      </c>
      <c r="AH39" s="60">
        <f t="shared" si="18"/>
        <v>-7.2049694391746808</v>
      </c>
      <c r="AI39" s="62"/>
      <c r="AK39" s="21"/>
      <c r="AL39" s="87"/>
    </row>
    <row r="40" spans="2:38" s="3" customFormat="1" x14ac:dyDescent="0.3">
      <c r="B40" s="1">
        <v>43</v>
      </c>
      <c r="C40" s="1">
        <f t="shared" si="0"/>
        <v>9659.52</v>
      </c>
      <c r="D40" s="5">
        <v>0.32500000000000001</v>
      </c>
      <c r="E40" s="10">
        <v>0.79700000000000004</v>
      </c>
      <c r="F40" s="1"/>
      <c r="I40" s="90">
        <v>8000</v>
      </c>
      <c r="J40" s="29">
        <f t="shared" si="3"/>
        <v>4.970981893198454</v>
      </c>
      <c r="K40" s="29">
        <f t="shared" si="4"/>
        <v>198.81939180036539</v>
      </c>
      <c r="L40" s="97">
        <v>341</v>
      </c>
      <c r="M40" s="58">
        <f t="shared" si="5"/>
        <v>-1.9</v>
      </c>
      <c r="N40" s="44">
        <f t="shared" si="19"/>
        <v>-19.399999999999999</v>
      </c>
      <c r="O40" s="44">
        <f t="shared" si="6"/>
        <v>-88.30060819963461</v>
      </c>
      <c r="P40" s="61">
        <f t="shared" si="7"/>
        <v>-6.08969711721618</v>
      </c>
      <c r="Q40" s="68">
        <f t="shared" si="8"/>
        <v>292.45479513340871</v>
      </c>
      <c r="R40" s="65">
        <f t="shared" si="9"/>
        <v>-19.399999999999999</v>
      </c>
      <c r="S40" s="65">
        <f t="shared" si="10"/>
        <v>5.3347951334087043</v>
      </c>
      <c r="T40" s="65">
        <f t="shared" si="11"/>
        <v>5.3347951334087043</v>
      </c>
      <c r="U40" s="60">
        <f t="shared" si="12"/>
        <v>0.36791690575232444</v>
      </c>
      <c r="V40" s="65"/>
      <c r="W40" s="65"/>
      <c r="X40" s="65"/>
      <c r="Y40" s="65"/>
      <c r="Z40" s="65"/>
      <c r="AA40" s="68">
        <f t="shared" si="1"/>
        <v>232.80897759329912</v>
      </c>
      <c r="AB40" s="65">
        <f t="shared" si="13"/>
        <v>-19.399999999999999</v>
      </c>
      <c r="AC40" s="65">
        <f t="shared" si="14"/>
        <v>-54.311022406700886</v>
      </c>
      <c r="AD40" s="60">
        <f t="shared" si="15"/>
        <v>-3.7455877521862679</v>
      </c>
      <c r="AE40" s="68">
        <f t="shared" si="2"/>
        <v>164.82980600743161</v>
      </c>
      <c r="AF40" s="73">
        <f t="shared" si="16"/>
        <v>-19.399999999999999</v>
      </c>
      <c r="AG40" s="65">
        <f t="shared" si="17"/>
        <v>-122.29019399256839</v>
      </c>
      <c r="AH40" s="60">
        <f t="shared" si="18"/>
        <v>-8.4338064822460961</v>
      </c>
      <c r="AI40" s="62"/>
      <c r="AK40" s="21"/>
      <c r="AL40" s="87"/>
    </row>
    <row r="41" spans="2:38" s="3" customFormat="1" x14ac:dyDescent="0.3">
      <c r="B41" s="1">
        <v>45</v>
      </c>
      <c r="C41" s="1">
        <f t="shared" si="0"/>
        <v>10108.799999999999</v>
      </c>
      <c r="D41" s="5">
        <v>0.35899999999999999</v>
      </c>
      <c r="E41" s="10">
        <v>0.88700000000000001</v>
      </c>
      <c r="F41" s="1"/>
      <c r="H41" s="17" t="s">
        <v>61</v>
      </c>
      <c r="I41" s="90">
        <v>8500</v>
      </c>
      <c r="J41" s="29">
        <f t="shared" si="3"/>
        <v>5.2816682615233574</v>
      </c>
      <c r="K41" s="29">
        <f t="shared" si="4"/>
        <v>211.2456037878882</v>
      </c>
      <c r="L41" s="98">
        <v>331</v>
      </c>
      <c r="M41" s="58">
        <f t="shared" si="5"/>
        <v>-1</v>
      </c>
      <c r="N41" s="44">
        <f t="shared" si="19"/>
        <v>-20.399999999999999</v>
      </c>
      <c r="O41" s="44">
        <f>+K41+N41*14.8</f>
        <v>-90.674396212111816</v>
      </c>
      <c r="P41" s="61">
        <f t="shared" si="7"/>
        <v>-6.253406635318056</v>
      </c>
      <c r="Q41" s="68">
        <f t="shared" si="8"/>
        <v>310.73321982924676</v>
      </c>
      <c r="R41" s="65">
        <f t="shared" si="9"/>
        <v>-20.399999999999999</v>
      </c>
      <c r="S41" s="65">
        <f t="shared" si="10"/>
        <v>8.8132198292467478</v>
      </c>
      <c r="T41" s="65">
        <f t="shared" si="11"/>
        <v>8.8132198292467478</v>
      </c>
      <c r="U41" s="60">
        <f t="shared" si="12"/>
        <v>0.60780826408598265</v>
      </c>
      <c r="V41" s="65"/>
      <c r="W41" s="65"/>
      <c r="X41" s="65"/>
      <c r="Y41" s="65"/>
      <c r="Z41" s="65"/>
      <c r="AA41" s="68">
        <f t="shared" si="1"/>
        <v>247.35953869288031</v>
      </c>
      <c r="AB41" s="65">
        <f t="shared" si="13"/>
        <v>-20.399999999999999</v>
      </c>
      <c r="AC41" s="65">
        <f t="shared" si="14"/>
        <v>-54.560461307119709</v>
      </c>
      <c r="AD41" s="60">
        <f t="shared" si="15"/>
        <v>-3.7627904349737729</v>
      </c>
      <c r="AE41" s="68">
        <f t="shared" si="2"/>
        <v>175.13166888289609</v>
      </c>
      <c r="AF41" s="73">
        <f t="shared" si="16"/>
        <v>-20.399999999999999</v>
      </c>
      <c r="AG41" s="65">
        <f t="shared" si="17"/>
        <v>-126.78833111710392</v>
      </c>
      <c r="AH41" s="60">
        <f t="shared" si="18"/>
        <v>-8.7440228356623386</v>
      </c>
      <c r="AI41" s="62"/>
      <c r="AK41" s="21">
        <v>8450</v>
      </c>
      <c r="AL41" s="87"/>
    </row>
    <row r="42" spans="2:38" s="3" customFormat="1" x14ac:dyDescent="0.3">
      <c r="B42" s="19">
        <v>48</v>
      </c>
      <c r="C42" s="1">
        <f t="shared" si="0"/>
        <v>10782.72</v>
      </c>
      <c r="D42" s="5">
        <v>0.39800000000000002</v>
      </c>
      <c r="E42" s="28">
        <v>0.97799999999999998</v>
      </c>
      <c r="F42" s="1"/>
      <c r="I42" s="90">
        <v>9000</v>
      </c>
      <c r="J42" s="29">
        <f t="shared" si="3"/>
        <v>5.5923546298482609</v>
      </c>
      <c r="K42" s="29">
        <f t="shared" si="4"/>
        <v>223.67181577541106</v>
      </c>
      <c r="L42" s="97">
        <v>326</v>
      </c>
      <c r="M42" s="58">
        <f t="shared" si="5"/>
        <v>-0.5</v>
      </c>
      <c r="N42" s="44">
        <f t="shared" si="19"/>
        <v>-20.9</v>
      </c>
      <c r="O42" s="44">
        <f t="shared" si="6"/>
        <v>-85.648184224588931</v>
      </c>
      <c r="P42" s="61">
        <f t="shared" si="7"/>
        <v>-5.9067713258337191</v>
      </c>
      <c r="Q42" s="68">
        <f t="shared" si="8"/>
        <v>329.01164452508482</v>
      </c>
      <c r="R42" s="65">
        <f t="shared" si="9"/>
        <v>-20.9</v>
      </c>
      <c r="S42" s="65">
        <f t="shared" si="10"/>
        <v>19.691644525084826</v>
      </c>
      <c r="T42" s="65">
        <f t="shared" si="11"/>
        <v>19.691644525084826</v>
      </c>
      <c r="U42" s="60">
        <f t="shared" si="12"/>
        <v>1.3580444500058499</v>
      </c>
      <c r="V42" s="65"/>
      <c r="W42" s="65"/>
      <c r="X42" s="65"/>
      <c r="Y42" s="65"/>
      <c r="Z42" s="65"/>
      <c r="AA42" s="68">
        <f t="shared" si="1"/>
        <v>261.91009979246149</v>
      </c>
      <c r="AB42" s="65">
        <f t="shared" si="13"/>
        <v>-20.9</v>
      </c>
      <c r="AC42" s="65">
        <f t="shared" si="14"/>
        <v>-47.409900207538499</v>
      </c>
      <c r="AD42" s="60">
        <f t="shared" si="15"/>
        <v>-3.269648290175069</v>
      </c>
      <c r="AE42" s="68">
        <f t="shared" si="2"/>
        <v>185.43353175836057</v>
      </c>
      <c r="AF42" s="73">
        <f t="shared" si="16"/>
        <v>-20.9</v>
      </c>
      <c r="AG42" s="65">
        <f t="shared" si="17"/>
        <v>-123.88646824163942</v>
      </c>
      <c r="AH42" s="60">
        <f t="shared" si="18"/>
        <v>-8.5438943614923737</v>
      </c>
      <c r="AI42" s="72"/>
      <c r="AK42" s="21"/>
      <c r="AL42" s="87"/>
    </row>
    <row r="43" spans="2:38" s="3" customFormat="1" x14ac:dyDescent="0.3">
      <c r="B43" s="19">
        <f>(B44+B42)/2</f>
        <v>54</v>
      </c>
      <c r="C43" s="1">
        <f t="shared" si="0"/>
        <v>12130.559999999998</v>
      </c>
      <c r="D43" s="5">
        <v>0.42</v>
      </c>
      <c r="E43" s="28">
        <f>(E44+E42)/2</f>
        <v>1.2690000000000001</v>
      </c>
      <c r="F43" s="1"/>
      <c r="I43" s="90">
        <v>9500</v>
      </c>
      <c r="J43" s="29">
        <f t="shared" si="3"/>
        <v>5.9030409981731644</v>
      </c>
      <c r="K43" s="29">
        <f t="shared" si="4"/>
        <v>236.09802776293392</v>
      </c>
      <c r="L43" s="98">
        <v>315</v>
      </c>
      <c r="M43" s="58">
        <f t="shared" si="5"/>
        <v>-1.1000000000000001</v>
      </c>
      <c r="N43" s="44">
        <f t="shared" si="19"/>
        <v>-22</v>
      </c>
      <c r="O43" s="44">
        <f t="shared" si="6"/>
        <v>-89.501972237066099</v>
      </c>
      <c r="P43" s="61">
        <f t="shared" si="7"/>
        <v>-6.1725498094528346</v>
      </c>
      <c r="Q43" s="68"/>
      <c r="R43" s="65"/>
      <c r="S43" s="65"/>
      <c r="T43" s="65"/>
      <c r="U43" s="60"/>
      <c r="V43" s="65"/>
      <c r="W43" s="65"/>
      <c r="X43" s="65"/>
      <c r="Y43" s="65"/>
      <c r="Z43" s="65"/>
      <c r="AA43" s="68"/>
      <c r="AB43" s="65"/>
      <c r="AC43" s="65"/>
      <c r="AD43" s="60"/>
      <c r="AE43" s="68"/>
      <c r="AF43" s="73"/>
      <c r="AG43" s="65"/>
      <c r="AH43" s="60"/>
      <c r="AI43" s="72"/>
      <c r="AK43" s="21"/>
      <c r="AL43" s="87"/>
    </row>
    <row r="44" spans="2:38" s="3" customFormat="1" x14ac:dyDescent="0.3">
      <c r="B44" s="1">
        <v>60</v>
      </c>
      <c r="C44" s="1">
        <f t="shared" si="0"/>
        <v>13478.399999999998</v>
      </c>
      <c r="D44" s="5">
        <v>0.628</v>
      </c>
      <c r="E44" s="10">
        <v>1.56</v>
      </c>
      <c r="F44" s="1"/>
      <c r="I44" s="90">
        <v>10000</v>
      </c>
      <c r="J44" s="29">
        <f t="shared" si="3"/>
        <v>6.2137273664980679</v>
      </c>
      <c r="K44" s="29">
        <f t="shared" si="4"/>
        <v>248.52423975045673</v>
      </c>
      <c r="L44" s="97">
        <v>313</v>
      </c>
      <c r="M44" s="58">
        <f t="shared" si="5"/>
        <v>-0.2</v>
      </c>
      <c r="N44" s="44">
        <f t="shared" si="19"/>
        <v>-22.2</v>
      </c>
      <c r="O44" s="44">
        <f t="shared" si="6"/>
        <v>-80.035760249543273</v>
      </c>
      <c r="P44" s="61">
        <f t="shared" si="7"/>
        <v>-5.5197076034167774</v>
      </c>
      <c r="Q44" s="68">
        <f t="shared" ref="Q44:Q107" si="20">+($I44/1609.34)*5280/(100)*$D$47</f>
        <v>365.56849391676087</v>
      </c>
      <c r="R44" s="65">
        <f t="shared" si="9"/>
        <v>-22.2</v>
      </c>
      <c r="S44" s="65">
        <f t="shared" si="10"/>
        <v>37.00849391676087</v>
      </c>
      <c r="T44" s="65">
        <f t="shared" si="11"/>
        <v>37.00849391676087</v>
      </c>
      <c r="U44" s="60">
        <f t="shared" si="12"/>
        <v>2.5523099252938533</v>
      </c>
      <c r="V44" s="65"/>
      <c r="W44" s="65"/>
      <c r="X44" s="65"/>
      <c r="Y44" s="65"/>
      <c r="Z44" s="65"/>
      <c r="AA44" s="68">
        <f t="shared" ref="AA44:AA107" si="21">+($I44/1609.34)*5280/(100)*$D$45</f>
        <v>291.01122199162387</v>
      </c>
      <c r="AB44" s="65">
        <f t="shared" si="13"/>
        <v>-22.2</v>
      </c>
      <c r="AC44" s="65">
        <f t="shared" si="14"/>
        <v>-37.548778008376132</v>
      </c>
      <c r="AD44" s="60">
        <f t="shared" si="15"/>
        <v>-2.5895708971293883</v>
      </c>
      <c r="AE44" s="68">
        <f t="shared" ref="AE44:AE107" si="22">+($I44/1609.34)*5280/(100)*$D$44</f>
        <v>206.03725750928953</v>
      </c>
      <c r="AF44" s="73">
        <f t="shared" si="16"/>
        <v>-22.2</v>
      </c>
      <c r="AG44" s="65">
        <f t="shared" si="17"/>
        <v>-122.52274249071047</v>
      </c>
      <c r="AH44" s="60">
        <f t="shared" si="18"/>
        <v>-8.4498443097041704</v>
      </c>
      <c r="AI44" s="62"/>
      <c r="AK44" s="21"/>
      <c r="AL44" s="87"/>
    </row>
    <row r="45" spans="2:38" s="3" customFormat="1" x14ac:dyDescent="0.3">
      <c r="B45" s="20">
        <v>71</v>
      </c>
      <c r="C45" s="18">
        <f t="shared" si="0"/>
        <v>15949.440000000002</v>
      </c>
      <c r="D45" s="5">
        <v>0.88700000000000001</v>
      </c>
      <c r="E45" s="30">
        <v>2.2000000000000002</v>
      </c>
      <c r="F45" s="1"/>
      <c r="G45" s="21">
        <v>65</v>
      </c>
      <c r="H45" s="21">
        <f>(D44+D45)/2</f>
        <v>0.75750000000000006</v>
      </c>
      <c r="I45" s="90">
        <v>10500</v>
      </c>
      <c r="J45" s="29">
        <f t="shared" si="3"/>
        <v>6.5244137348229714</v>
      </c>
      <c r="K45" s="29">
        <f t="shared" si="4"/>
        <v>260.95045173797956</v>
      </c>
      <c r="L45" s="98">
        <v>310</v>
      </c>
      <c r="M45" s="58">
        <f t="shared" si="5"/>
        <v>-0.3</v>
      </c>
      <c r="N45" s="44">
        <f t="shared" si="19"/>
        <v>-22.5</v>
      </c>
      <c r="O45" s="44">
        <f t="shared" si="6"/>
        <v>-72.049548262020437</v>
      </c>
      <c r="P45" s="61">
        <f t="shared" si="7"/>
        <v>-4.9689343628979614</v>
      </c>
      <c r="Q45" s="68">
        <f t="shared" si="20"/>
        <v>383.84691861259898</v>
      </c>
      <c r="R45" s="65">
        <f t="shared" si="9"/>
        <v>-22.5</v>
      </c>
      <c r="S45" s="65">
        <f t="shared" si="10"/>
        <v>50.846918612598984</v>
      </c>
      <c r="T45" s="65">
        <f t="shared" si="11"/>
        <v>50.846918612598984</v>
      </c>
      <c r="U45" s="60">
        <f t="shared" si="12"/>
        <v>3.5066840422482057</v>
      </c>
      <c r="V45" s="65"/>
      <c r="W45" s="65"/>
      <c r="X45" s="65"/>
      <c r="Y45" s="65"/>
      <c r="Z45" s="65"/>
      <c r="AA45" s="68">
        <f t="shared" si="21"/>
        <v>305.56178309120514</v>
      </c>
      <c r="AB45" s="65">
        <f t="shared" si="13"/>
        <v>-22.5</v>
      </c>
      <c r="AC45" s="65">
        <f t="shared" si="14"/>
        <v>-27.438216908794857</v>
      </c>
      <c r="AD45" s="60">
        <f t="shared" si="15"/>
        <v>-1.8922908212961971</v>
      </c>
      <c r="AE45" s="68">
        <f t="shared" si="22"/>
        <v>216.33912038475401</v>
      </c>
      <c r="AF45" s="73">
        <f t="shared" si="16"/>
        <v>-22.5</v>
      </c>
      <c r="AG45" s="65">
        <f t="shared" si="17"/>
        <v>-116.66087961524599</v>
      </c>
      <c r="AH45" s="60">
        <f t="shared" si="18"/>
        <v>-8.0455779044997229</v>
      </c>
      <c r="AI45" s="62"/>
      <c r="AK45" s="21"/>
      <c r="AL45" s="87"/>
    </row>
    <row r="46" spans="2:38" s="3" customFormat="1" x14ac:dyDescent="0.3">
      <c r="B46" s="42">
        <f>+(B45+B48)/2</f>
        <v>77</v>
      </c>
      <c r="C46" s="1">
        <f>+(C45+C48)/2</f>
        <v>17297.28</v>
      </c>
      <c r="D46" s="1">
        <f>+(D45+D48)/2</f>
        <v>1.0385</v>
      </c>
      <c r="E46" s="1">
        <f>+(E45+E48)/2</f>
        <v>2.585</v>
      </c>
      <c r="F46" s="1"/>
      <c r="I46" s="90">
        <v>11000</v>
      </c>
      <c r="J46" s="29">
        <f t="shared" si="3"/>
        <v>6.8351001031478749</v>
      </c>
      <c r="K46" s="29">
        <f t="shared" si="4"/>
        <v>273.37666372550245</v>
      </c>
      <c r="L46" s="97">
        <v>303</v>
      </c>
      <c r="M46" s="58">
        <f t="shared" si="5"/>
        <v>-0.7</v>
      </c>
      <c r="N46" s="44">
        <f t="shared" si="19"/>
        <v>-23.2</v>
      </c>
      <c r="O46" s="44">
        <f t="shared" si="6"/>
        <v>-69.98333627449756</v>
      </c>
      <c r="P46" s="61">
        <f t="shared" si="7"/>
        <v>-4.8264369844481072</v>
      </c>
      <c r="Q46" s="68">
        <f t="shared" si="20"/>
        <v>402.12534330843704</v>
      </c>
      <c r="R46" s="65">
        <f t="shared" si="9"/>
        <v>-23.2</v>
      </c>
      <c r="S46" s="65">
        <f t="shared" si="10"/>
        <v>58.765343308437025</v>
      </c>
      <c r="T46" s="65">
        <f t="shared" si="11"/>
        <v>58.765343308437025</v>
      </c>
      <c r="U46" s="60">
        <f t="shared" si="12"/>
        <v>4.0527822971335876</v>
      </c>
      <c r="V46" s="65"/>
      <c r="W46" s="65"/>
      <c r="X46" s="65"/>
      <c r="Y46" s="65"/>
      <c r="Z46" s="65"/>
      <c r="AA46" s="68">
        <f t="shared" si="21"/>
        <v>320.11234419078636</v>
      </c>
      <c r="AB46" s="65">
        <f t="shared" si="13"/>
        <v>-23.2</v>
      </c>
      <c r="AC46" s="65">
        <f t="shared" si="14"/>
        <v>-23.247655809213654</v>
      </c>
      <c r="AD46" s="60">
        <f t="shared" si="15"/>
        <v>-1.603286607531976</v>
      </c>
      <c r="AE46" s="68">
        <f t="shared" si="22"/>
        <v>226.64098326021852</v>
      </c>
      <c r="AF46" s="73">
        <f t="shared" si="16"/>
        <v>-23.2</v>
      </c>
      <c r="AG46" s="65">
        <f t="shared" si="17"/>
        <v>-116.71901673978149</v>
      </c>
      <c r="AH46" s="60">
        <f t="shared" si="18"/>
        <v>-8.0495873613642406</v>
      </c>
      <c r="AI46" s="62"/>
      <c r="AK46" s="21"/>
      <c r="AL46" s="87"/>
    </row>
    <row r="47" spans="2:38" s="3" customFormat="1" x14ac:dyDescent="0.3">
      <c r="B47" s="7">
        <f>+(B46+B48)/2</f>
        <v>80</v>
      </c>
      <c r="C47" s="1">
        <f t="shared" ref="C47:E47" si="23">+(C46+C48)/2</f>
        <v>17971.199999999997</v>
      </c>
      <c r="D47" s="1">
        <f t="shared" si="23"/>
        <v>1.11425</v>
      </c>
      <c r="E47" s="1">
        <f t="shared" si="23"/>
        <v>2.7774999999999999</v>
      </c>
      <c r="F47" s="1"/>
      <c r="I47" s="90">
        <v>11500</v>
      </c>
      <c r="J47" s="29">
        <f t="shared" si="3"/>
        <v>7.1457864714727783</v>
      </c>
      <c r="K47" s="29">
        <f t="shared" si="4"/>
        <v>285.80287571302529</v>
      </c>
      <c r="L47" s="98">
        <v>300</v>
      </c>
      <c r="M47" s="58">
        <f t="shared" si="5"/>
        <v>-0.3</v>
      </c>
      <c r="N47" s="44">
        <f t="shared" si="19"/>
        <v>-23.5</v>
      </c>
      <c r="O47" s="44">
        <f t="shared" si="6"/>
        <v>-61.997124286974724</v>
      </c>
      <c r="P47" s="61">
        <f t="shared" si="7"/>
        <v>-4.2756637439292913</v>
      </c>
      <c r="Q47" s="68">
        <f t="shared" si="20"/>
        <v>420.40376800427509</v>
      </c>
      <c r="R47" s="65">
        <f t="shared" si="9"/>
        <v>-23.5</v>
      </c>
      <c r="S47" s="65">
        <f t="shared" si="10"/>
        <v>72.603768004275082</v>
      </c>
      <c r="T47" s="65">
        <f t="shared" si="11"/>
        <v>72.603768004275082</v>
      </c>
      <c r="U47" s="60">
        <f t="shared" si="12"/>
        <v>5.0071564140879365</v>
      </c>
      <c r="V47" s="65"/>
      <c r="W47" s="65"/>
      <c r="X47" s="65"/>
      <c r="Y47" s="65"/>
      <c r="Z47" s="65"/>
      <c r="AA47" s="68">
        <f t="shared" si="21"/>
        <v>334.66290529036758</v>
      </c>
      <c r="AB47" s="65">
        <f t="shared" si="13"/>
        <v>-23.5</v>
      </c>
      <c r="AC47" s="65">
        <f t="shared" si="14"/>
        <v>-13.137094709632436</v>
      </c>
      <c r="AD47" s="60">
        <f t="shared" si="15"/>
        <v>-0.90600653169878864</v>
      </c>
      <c r="AE47" s="68">
        <f t="shared" si="22"/>
        <v>236.942846135683</v>
      </c>
      <c r="AF47" s="73">
        <f t="shared" si="16"/>
        <v>-23.5</v>
      </c>
      <c r="AG47" s="65">
        <f t="shared" si="17"/>
        <v>-110.85715386431701</v>
      </c>
      <c r="AH47" s="60">
        <f t="shared" si="18"/>
        <v>-7.6453209561597939</v>
      </c>
      <c r="AI47" s="62"/>
      <c r="AK47" s="21"/>
      <c r="AL47" s="87"/>
    </row>
    <row r="48" spans="2:38" s="3" customFormat="1" x14ac:dyDescent="0.3">
      <c r="B48" s="42">
        <v>83</v>
      </c>
      <c r="C48" s="1">
        <f>+B48*0.156*60*24</f>
        <v>18645.12</v>
      </c>
      <c r="D48" s="5">
        <v>1.19</v>
      </c>
      <c r="E48" s="10">
        <v>2.97</v>
      </c>
      <c r="F48" s="1"/>
      <c r="I48" s="90">
        <v>12000</v>
      </c>
      <c r="J48" s="29">
        <f t="shared" si="3"/>
        <v>7.4564728397976818</v>
      </c>
      <c r="K48" s="29">
        <f t="shared" si="4"/>
        <v>298.22908770054806</v>
      </c>
      <c r="L48" s="97">
        <v>297</v>
      </c>
      <c r="M48" s="58">
        <f t="shared" si="5"/>
        <v>-0.3</v>
      </c>
      <c r="N48" s="44">
        <f t="shared" si="19"/>
        <v>-23.8</v>
      </c>
      <c r="O48" s="44">
        <f t="shared" si="6"/>
        <v>-54.010912299451945</v>
      </c>
      <c r="P48" s="61">
        <f t="shared" si="7"/>
        <v>-3.7248905034104789</v>
      </c>
      <c r="Q48" s="68">
        <f t="shared" si="20"/>
        <v>438.68219270011303</v>
      </c>
      <c r="R48" s="65">
        <f t="shared" si="9"/>
        <v>-23.8</v>
      </c>
      <c r="S48" s="65">
        <f t="shared" si="10"/>
        <v>86.442192700113026</v>
      </c>
      <c r="T48" s="65">
        <f t="shared" si="11"/>
        <v>86.442192700113026</v>
      </c>
      <c r="U48" s="60">
        <f t="shared" si="12"/>
        <v>5.9615305310422775</v>
      </c>
      <c r="V48" s="65"/>
      <c r="W48" s="65"/>
      <c r="X48" s="65"/>
      <c r="Y48" s="65"/>
      <c r="Z48" s="65"/>
      <c r="AA48" s="68">
        <f t="shared" si="21"/>
        <v>349.21346638994868</v>
      </c>
      <c r="AB48" s="65">
        <f t="shared" si="13"/>
        <v>-23.8</v>
      </c>
      <c r="AC48" s="65">
        <f t="shared" si="14"/>
        <v>-3.0265336100513309</v>
      </c>
      <c r="AD48" s="60">
        <f t="shared" si="15"/>
        <v>-0.20872645586560903</v>
      </c>
      <c r="AE48" s="68">
        <f t="shared" si="22"/>
        <v>247.24470901114742</v>
      </c>
      <c r="AF48" s="73">
        <f t="shared" si="16"/>
        <v>-23.8</v>
      </c>
      <c r="AG48" s="65">
        <f t="shared" si="17"/>
        <v>-104.99529098885259</v>
      </c>
      <c r="AH48" s="60">
        <f t="shared" si="18"/>
        <v>-7.2410545509553508</v>
      </c>
      <c r="AI48" s="62"/>
      <c r="AK48" s="21"/>
      <c r="AL48" s="87"/>
    </row>
    <row r="49" spans="2:38" s="3" customFormat="1" x14ac:dyDescent="0.3">
      <c r="B49" s="42">
        <f>+(B48+B50)/2</f>
        <v>89</v>
      </c>
      <c r="C49" s="1">
        <f t="shared" ref="C49:E49" si="24">+(C48+C50)/2</f>
        <v>19992.96</v>
      </c>
      <c r="D49" s="1">
        <f t="shared" si="24"/>
        <v>1.365</v>
      </c>
      <c r="E49" s="1">
        <f t="shared" si="24"/>
        <v>3.395</v>
      </c>
      <c r="F49" s="1"/>
      <c r="I49" s="90">
        <v>12500</v>
      </c>
      <c r="J49" s="29">
        <f t="shared" si="3"/>
        <v>7.7671592081225844</v>
      </c>
      <c r="K49" s="29">
        <f t="shared" si="4"/>
        <v>310.6552996880709</v>
      </c>
      <c r="L49" s="98">
        <v>295</v>
      </c>
      <c r="M49" s="58">
        <f t="shared" si="5"/>
        <v>-0.2</v>
      </c>
      <c r="N49" s="44">
        <f t="shared" si="19"/>
        <v>-24</v>
      </c>
      <c r="O49" s="44">
        <f t="shared" si="6"/>
        <v>-44.544700311929148</v>
      </c>
      <c r="P49" s="61">
        <f t="shared" si="7"/>
        <v>-3.0720482973744239</v>
      </c>
      <c r="Q49" s="81">
        <f t="shared" si="20"/>
        <v>456.96061739595115</v>
      </c>
      <c r="R49" s="44">
        <f t="shared" si="9"/>
        <v>-24</v>
      </c>
      <c r="S49" s="65">
        <f t="shared" si="10"/>
        <v>101.7606173959511</v>
      </c>
      <c r="T49" s="44">
        <f t="shared" si="11"/>
        <v>101.7606173959511</v>
      </c>
      <c r="U49" s="64">
        <f t="shared" si="12"/>
        <v>7.0179736135138686</v>
      </c>
      <c r="V49" s="65"/>
      <c r="W49" s="65"/>
      <c r="X49" s="65"/>
      <c r="Y49" s="65"/>
      <c r="Z49" s="44"/>
      <c r="AA49" s="81">
        <f t="shared" si="21"/>
        <v>363.76402748952989</v>
      </c>
      <c r="AB49" s="44">
        <f t="shared" si="13"/>
        <v>-24</v>
      </c>
      <c r="AC49" s="44">
        <f t="shared" si="14"/>
        <v>8.5640274895298489</v>
      </c>
      <c r="AD49" s="64">
        <f t="shared" si="15"/>
        <v>0.59062258548481716</v>
      </c>
      <c r="AE49" s="81">
        <f t="shared" si="22"/>
        <v>257.5465718866119</v>
      </c>
      <c r="AF49" s="82">
        <f t="shared" si="16"/>
        <v>-24</v>
      </c>
      <c r="AG49" s="44">
        <f t="shared" si="17"/>
        <v>-97.653428113388145</v>
      </c>
      <c r="AH49" s="64">
        <f t="shared" si="18"/>
        <v>-6.7347191802336654</v>
      </c>
      <c r="AI49" s="62"/>
      <c r="AK49" s="21"/>
      <c r="AL49" s="87"/>
    </row>
    <row r="50" spans="2:38" s="3" customFormat="1" x14ac:dyDescent="0.3">
      <c r="B50" s="42">
        <v>95</v>
      </c>
      <c r="C50" s="1">
        <f>+B50*0.156*60*24</f>
        <v>21340.800000000003</v>
      </c>
      <c r="D50" s="5">
        <v>1.54</v>
      </c>
      <c r="E50" s="10">
        <v>3.82</v>
      </c>
      <c r="F50" s="1"/>
      <c r="I50" s="90">
        <v>13000</v>
      </c>
      <c r="J50" s="29">
        <f t="shared" si="3"/>
        <v>8.0778455764474888</v>
      </c>
      <c r="K50" s="29">
        <f t="shared" si="4"/>
        <v>323.08151167559379</v>
      </c>
      <c r="L50" s="97">
        <v>291</v>
      </c>
      <c r="M50" s="58">
        <f t="shared" si="5"/>
        <v>-0.4</v>
      </c>
      <c r="N50" s="44">
        <f t="shared" si="19"/>
        <v>-24.4</v>
      </c>
      <c r="O50" s="44">
        <f t="shared" si="6"/>
        <v>-38.038488324406217</v>
      </c>
      <c r="P50" s="61">
        <f t="shared" si="7"/>
        <v>-2.6233440223728426</v>
      </c>
      <c r="Q50" s="81">
        <f t="shared" si="20"/>
        <v>475.2390420917892</v>
      </c>
      <c r="R50" s="44">
        <f t="shared" si="9"/>
        <v>-24.4</v>
      </c>
      <c r="S50" s="65">
        <f t="shared" si="10"/>
        <v>114.1190420917892</v>
      </c>
      <c r="T50" s="44">
        <f t="shared" si="11"/>
        <v>114.1190420917892</v>
      </c>
      <c r="U50" s="64">
        <f t="shared" si="12"/>
        <v>7.8702787649509789</v>
      </c>
      <c r="V50" s="65"/>
      <c r="W50" s="65"/>
      <c r="X50" s="65"/>
      <c r="Y50" s="65"/>
      <c r="Z50" s="44"/>
      <c r="AA50" s="81">
        <f t="shared" si="21"/>
        <v>378.31458858911111</v>
      </c>
      <c r="AB50" s="44">
        <f t="shared" si="13"/>
        <v>-24.4</v>
      </c>
      <c r="AC50" s="44">
        <f t="shared" si="14"/>
        <v>17.194588589111106</v>
      </c>
      <c r="AD50" s="64">
        <f t="shared" si="15"/>
        <v>1.185833695800766</v>
      </c>
      <c r="AE50" s="81">
        <f t="shared" si="22"/>
        <v>267.84843476207641</v>
      </c>
      <c r="AF50" s="82">
        <f t="shared" si="16"/>
        <v>-24.4</v>
      </c>
      <c r="AG50" s="44">
        <f t="shared" si="17"/>
        <v>-93.271565237923596</v>
      </c>
      <c r="AH50" s="64">
        <f t="shared" si="18"/>
        <v>-6.4325217405464548</v>
      </c>
      <c r="AI50" s="62"/>
      <c r="AK50" s="21"/>
      <c r="AL50" s="87"/>
    </row>
    <row r="51" spans="2:38" s="3" customFormat="1" x14ac:dyDescent="0.3">
      <c r="B51" s="1"/>
      <c r="C51" s="1"/>
      <c r="D51" s="1"/>
      <c r="F51" s="1"/>
      <c r="I51" s="90">
        <v>13500</v>
      </c>
      <c r="J51" s="29">
        <f t="shared" si="3"/>
        <v>8.3885319447723923</v>
      </c>
      <c r="K51" s="29">
        <f t="shared" si="4"/>
        <v>335.50772366311662</v>
      </c>
      <c r="L51" s="98">
        <v>289</v>
      </c>
      <c r="M51" s="58">
        <f t="shared" si="5"/>
        <v>-0.2</v>
      </c>
      <c r="N51" s="44">
        <f t="shared" si="19"/>
        <v>-24.599999999999998</v>
      </c>
      <c r="O51" s="44">
        <f t="shared" si="6"/>
        <v>-28.572276336883363</v>
      </c>
      <c r="P51" s="61">
        <f t="shared" si="7"/>
        <v>-1.9705018163367836</v>
      </c>
      <c r="Q51" s="81">
        <f t="shared" si="20"/>
        <v>493.51746678762726</v>
      </c>
      <c r="R51" s="44">
        <f t="shared" si="9"/>
        <v>-24.599999999999998</v>
      </c>
      <c r="S51" s="65">
        <f t="shared" si="10"/>
        <v>129.43746678762727</v>
      </c>
      <c r="T51" s="44">
        <f t="shared" si="11"/>
        <v>129.43746678762727</v>
      </c>
      <c r="U51" s="64">
        <f t="shared" si="12"/>
        <v>8.92672184742257</v>
      </c>
      <c r="V51" s="65"/>
      <c r="W51" s="65"/>
      <c r="X51" s="65"/>
      <c r="Y51" s="65"/>
      <c r="Z51" s="44"/>
      <c r="AA51" s="81">
        <f t="shared" si="21"/>
        <v>392.86514968869233</v>
      </c>
      <c r="AB51" s="44">
        <f t="shared" si="13"/>
        <v>-24.599999999999998</v>
      </c>
      <c r="AC51" s="44">
        <f t="shared" si="14"/>
        <v>28.785149688692343</v>
      </c>
      <c r="AD51" s="64">
        <f t="shared" si="15"/>
        <v>1.9851827371511961</v>
      </c>
      <c r="AE51" s="81">
        <f t="shared" si="22"/>
        <v>278.15029763754092</v>
      </c>
      <c r="AF51" s="82">
        <f t="shared" si="16"/>
        <v>-24.599999999999998</v>
      </c>
      <c r="AG51" s="44">
        <f t="shared" si="17"/>
        <v>-85.929702362459068</v>
      </c>
      <c r="AH51" s="64">
        <f t="shared" si="18"/>
        <v>-5.9261863698247632</v>
      </c>
      <c r="AI51" s="62"/>
      <c r="AK51" s="21"/>
      <c r="AL51" s="87"/>
    </row>
    <row r="52" spans="2:38" s="3" customFormat="1" x14ac:dyDescent="0.3">
      <c r="B52" s="1"/>
      <c r="C52" s="1"/>
      <c r="D52" s="1"/>
      <c r="F52" s="1"/>
      <c r="I52" s="90">
        <v>14000</v>
      </c>
      <c r="J52" s="29">
        <f t="shared" si="3"/>
        <v>8.6992183130972958</v>
      </c>
      <c r="K52" s="29">
        <f t="shared" si="4"/>
        <v>347.93393565063951</v>
      </c>
      <c r="L52" s="97">
        <v>289</v>
      </c>
      <c r="M52" s="58">
        <f t="shared" si="5"/>
        <v>0</v>
      </c>
      <c r="N52" s="44">
        <f t="shared" si="19"/>
        <v>-24.599999999999998</v>
      </c>
      <c r="O52" s="44">
        <f t="shared" si="6"/>
        <v>-16.146064349360472</v>
      </c>
      <c r="P52" s="61">
        <f t="shared" si="7"/>
        <v>-1.1135216792662395</v>
      </c>
      <c r="Q52" s="81">
        <f t="shared" si="20"/>
        <v>511.79589148346537</v>
      </c>
      <c r="R52" s="44">
        <f t="shared" si="9"/>
        <v>-24.599999999999998</v>
      </c>
      <c r="S52" s="65">
        <f t="shared" si="10"/>
        <v>147.71589148346538</v>
      </c>
      <c r="T52" s="44">
        <f t="shared" si="11"/>
        <v>147.71589148346538</v>
      </c>
      <c r="U52" s="64">
        <f t="shared" si="12"/>
        <v>10.187302860928646</v>
      </c>
      <c r="V52" s="65"/>
      <c r="W52" s="65"/>
      <c r="X52" s="65"/>
      <c r="Y52" s="65"/>
      <c r="Z52" s="44"/>
      <c r="AA52" s="81">
        <f t="shared" si="21"/>
        <v>407.41571078827354</v>
      </c>
      <c r="AB52" s="44">
        <f t="shared" si="13"/>
        <v>-24.599999999999998</v>
      </c>
      <c r="AC52" s="44">
        <f t="shared" si="14"/>
        <v>43.335710788273559</v>
      </c>
      <c r="AD52" s="64">
        <f t="shared" si="15"/>
        <v>2.9886697095361074</v>
      </c>
      <c r="AE52" s="81">
        <f t="shared" si="22"/>
        <v>288.45216051300537</v>
      </c>
      <c r="AF52" s="82">
        <f t="shared" si="16"/>
        <v>-24.599999999999998</v>
      </c>
      <c r="AG52" s="44">
        <f t="shared" si="17"/>
        <v>-75.627839486994617</v>
      </c>
      <c r="AH52" s="64">
        <f t="shared" si="18"/>
        <v>-5.2157130680685944</v>
      </c>
      <c r="AI52" s="62"/>
      <c r="AK52" s="21"/>
      <c r="AL52" s="87"/>
    </row>
    <row r="53" spans="2:38" s="3" customFormat="1" x14ac:dyDescent="0.3">
      <c r="B53" s="1"/>
      <c r="C53" s="1"/>
      <c r="D53" s="1"/>
      <c r="F53" s="1"/>
      <c r="I53" s="90">
        <v>14500</v>
      </c>
      <c r="J53" s="29">
        <f t="shared" si="3"/>
        <v>9.0099046814221992</v>
      </c>
      <c r="K53" s="29">
        <f t="shared" si="4"/>
        <v>360.36014763816229</v>
      </c>
      <c r="L53" s="98">
        <v>290</v>
      </c>
      <c r="M53" s="58">
        <f t="shared" si="5"/>
        <v>0.1</v>
      </c>
      <c r="N53" s="44">
        <f t="shared" si="19"/>
        <v>-24.499999999999996</v>
      </c>
      <c r="O53" s="44">
        <f t="shared" si="6"/>
        <v>-2.2398523618376771</v>
      </c>
      <c r="P53" s="61">
        <f t="shared" si="7"/>
        <v>-0.15447257667846048</v>
      </c>
      <c r="Q53" s="81">
        <f t="shared" si="20"/>
        <v>530.07431617930331</v>
      </c>
      <c r="R53" s="44">
        <f t="shared" si="9"/>
        <v>-24.499999999999996</v>
      </c>
      <c r="S53" s="65">
        <f t="shared" si="10"/>
        <v>167.47431617930334</v>
      </c>
      <c r="T53" s="44">
        <f t="shared" si="11"/>
        <v>167.47431617930334</v>
      </c>
      <c r="U53" s="64">
        <f t="shared" si="12"/>
        <v>11.549952839951954</v>
      </c>
      <c r="V53" s="65"/>
      <c r="W53" s="65"/>
      <c r="X53" s="65"/>
      <c r="Y53" s="65"/>
      <c r="Z53" s="44"/>
      <c r="AA53" s="81">
        <f t="shared" si="21"/>
        <v>421.9662718878547</v>
      </c>
      <c r="AB53" s="44">
        <f t="shared" si="13"/>
        <v>-24.499999999999996</v>
      </c>
      <c r="AC53" s="44">
        <f t="shared" si="14"/>
        <v>59.366271887854737</v>
      </c>
      <c r="AD53" s="64">
        <f t="shared" si="15"/>
        <v>4.0942256474382575</v>
      </c>
      <c r="AE53" s="81">
        <f t="shared" si="22"/>
        <v>298.75402338846982</v>
      </c>
      <c r="AF53" s="82">
        <f t="shared" si="16"/>
        <v>-24.499999999999996</v>
      </c>
      <c r="AG53" s="44">
        <f t="shared" si="17"/>
        <v>-63.845976611530148</v>
      </c>
      <c r="AH53" s="64">
        <f t="shared" si="18"/>
        <v>-4.4031708007951824</v>
      </c>
      <c r="AI53" s="62"/>
      <c r="AK53" s="21"/>
      <c r="AL53" s="87"/>
    </row>
    <row r="54" spans="2:38" s="3" customFormat="1" x14ac:dyDescent="0.3">
      <c r="B54" s="1"/>
      <c r="C54" s="1"/>
      <c r="D54" s="1"/>
      <c r="F54" s="1"/>
      <c r="I54" s="90">
        <v>15000</v>
      </c>
      <c r="J54" s="29">
        <f t="shared" si="3"/>
        <v>9.320591049747101</v>
      </c>
      <c r="K54" s="29">
        <f t="shared" si="4"/>
        <v>372.78635962568507</v>
      </c>
      <c r="L54" s="97">
        <v>290</v>
      </c>
      <c r="M54" s="58">
        <f t="shared" si="5"/>
        <v>0</v>
      </c>
      <c r="N54" s="44">
        <f t="shared" si="19"/>
        <v>-24.499999999999996</v>
      </c>
      <c r="O54" s="44">
        <f t="shared" si="6"/>
        <v>10.1863596256851</v>
      </c>
      <c r="P54" s="54">
        <f t="shared" si="7"/>
        <v>0.70250756039207585</v>
      </c>
      <c r="Q54" s="81">
        <f t="shared" si="20"/>
        <v>548.35274087514131</v>
      </c>
      <c r="R54" s="44">
        <f t="shared" si="9"/>
        <v>-24.499999999999996</v>
      </c>
      <c r="S54" s="65">
        <f t="shared" si="10"/>
        <v>185.75274087514134</v>
      </c>
      <c r="T54" s="44">
        <f t="shared" si="11"/>
        <v>185.75274087514134</v>
      </c>
      <c r="U54" s="64">
        <f t="shared" si="12"/>
        <v>12.810533853458024</v>
      </c>
      <c r="V54" s="65"/>
      <c r="W54" s="65"/>
      <c r="X54" s="65"/>
      <c r="Y54" s="65"/>
      <c r="Z54" s="44"/>
      <c r="AA54" s="81">
        <f t="shared" si="21"/>
        <v>436.51683298743581</v>
      </c>
      <c r="AB54" s="44">
        <f t="shared" si="13"/>
        <v>-24.499999999999996</v>
      </c>
      <c r="AC54" s="44">
        <f t="shared" si="14"/>
        <v>73.916832987435839</v>
      </c>
      <c r="AD54" s="64">
        <f t="shared" si="15"/>
        <v>5.0977126198231613</v>
      </c>
      <c r="AE54" s="81">
        <f t="shared" si="22"/>
        <v>309.05588626393427</v>
      </c>
      <c r="AF54" s="82">
        <f t="shared" si="16"/>
        <v>-24.499999999999996</v>
      </c>
      <c r="AG54" s="44">
        <f t="shared" si="17"/>
        <v>-53.544113736065697</v>
      </c>
      <c r="AH54" s="64">
        <f t="shared" si="18"/>
        <v>-3.6926974990390136</v>
      </c>
      <c r="AI54" s="62"/>
      <c r="AK54" s="21"/>
      <c r="AL54" s="87"/>
    </row>
    <row r="55" spans="2:38" s="3" customFormat="1" x14ac:dyDescent="0.3">
      <c r="B55" s="1"/>
      <c r="C55" s="1"/>
      <c r="D55" s="1"/>
      <c r="F55" s="1"/>
      <c r="I55" s="90">
        <v>15500</v>
      </c>
      <c r="J55" s="29">
        <f t="shared" si="3"/>
        <v>9.6312774180720044</v>
      </c>
      <c r="K55" s="29">
        <f t="shared" si="4"/>
        <v>385.2125716132079</v>
      </c>
      <c r="L55" s="98">
        <v>291</v>
      </c>
      <c r="M55" s="58">
        <f t="shared" si="5"/>
        <v>0.1</v>
      </c>
      <c r="N55" s="44">
        <f t="shared" si="19"/>
        <v>-24.399999999999995</v>
      </c>
      <c r="O55" s="44">
        <f t="shared" si="6"/>
        <v>24.092571613207951</v>
      </c>
      <c r="P55" s="54">
        <f t="shared" si="7"/>
        <v>1.6615566629798588</v>
      </c>
      <c r="Q55" s="81">
        <f t="shared" si="20"/>
        <v>566.63116557097942</v>
      </c>
      <c r="R55" s="44">
        <f t="shared" si="9"/>
        <v>-24.399999999999995</v>
      </c>
      <c r="S55" s="65">
        <f t="shared" si="10"/>
        <v>205.51116557097947</v>
      </c>
      <c r="T55" s="44">
        <f t="shared" si="11"/>
        <v>205.51116557097947</v>
      </c>
      <c r="U55" s="64">
        <f t="shared" si="12"/>
        <v>14.173183832481342</v>
      </c>
      <c r="V55" s="65"/>
      <c r="W55" s="65"/>
      <c r="X55" s="65"/>
      <c r="Y55" s="65"/>
      <c r="Z55" s="44"/>
      <c r="AA55" s="81">
        <f t="shared" si="21"/>
        <v>451.06739408701702</v>
      </c>
      <c r="AB55" s="44">
        <f t="shared" si="13"/>
        <v>-24.399999999999995</v>
      </c>
      <c r="AC55" s="44">
        <f t="shared" si="14"/>
        <v>89.947394087017074</v>
      </c>
      <c r="AD55" s="64">
        <f t="shared" si="15"/>
        <v>6.2032685577253153</v>
      </c>
      <c r="AE55" s="81">
        <f t="shared" si="22"/>
        <v>319.35774913939878</v>
      </c>
      <c r="AF55" s="82">
        <f t="shared" si="16"/>
        <v>-24.399999999999995</v>
      </c>
      <c r="AG55" s="44">
        <f t="shared" si="17"/>
        <v>-41.762250860601171</v>
      </c>
      <c r="AH55" s="64">
        <f t="shared" si="18"/>
        <v>-2.8801552317655981</v>
      </c>
      <c r="AI55" s="62"/>
      <c r="AK55" s="21"/>
      <c r="AL55" s="87"/>
    </row>
    <row r="56" spans="2:38" s="3" customFormat="1" x14ac:dyDescent="0.3">
      <c r="B56" s="1"/>
      <c r="C56" s="1"/>
      <c r="D56" s="1"/>
      <c r="F56" s="1"/>
      <c r="I56" s="90">
        <v>16000</v>
      </c>
      <c r="J56" s="29">
        <f t="shared" si="3"/>
        <v>9.9419637863969079</v>
      </c>
      <c r="K56" s="29">
        <f t="shared" si="4"/>
        <v>397.63878360073079</v>
      </c>
      <c r="L56" s="97">
        <v>288</v>
      </c>
      <c r="M56" s="58">
        <f t="shared" si="5"/>
        <v>-0.3</v>
      </c>
      <c r="N56" s="44">
        <f t="shared" si="19"/>
        <v>-24.699999999999996</v>
      </c>
      <c r="O56" s="44">
        <f t="shared" si="6"/>
        <v>32.078783600730844</v>
      </c>
      <c r="P56" s="54">
        <f t="shared" si="7"/>
        <v>2.212329903498679</v>
      </c>
      <c r="Q56" s="81">
        <f t="shared" si="20"/>
        <v>584.90959026681742</v>
      </c>
      <c r="R56" s="44">
        <f t="shared" si="9"/>
        <v>-24.699999999999996</v>
      </c>
      <c r="S56" s="65">
        <f t="shared" si="10"/>
        <v>219.34959026681747</v>
      </c>
      <c r="T56" s="44">
        <f t="shared" si="11"/>
        <v>219.34959026681747</v>
      </c>
      <c r="U56" s="64">
        <f t="shared" si="12"/>
        <v>15.127557949435687</v>
      </c>
      <c r="V56" s="65"/>
      <c r="W56" s="65"/>
      <c r="X56" s="65"/>
      <c r="Y56" s="65"/>
      <c r="Z56" s="44"/>
      <c r="AA56" s="81">
        <f t="shared" si="21"/>
        <v>465.61795518659824</v>
      </c>
      <c r="AB56" s="44">
        <f t="shared" si="13"/>
        <v>-24.699999999999996</v>
      </c>
      <c r="AC56" s="44">
        <f t="shared" si="14"/>
        <v>100.05795518659829</v>
      </c>
      <c r="AD56" s="64">
        <f t="shared" si="15"/>
        <v>6.9005486335585031</v>
      </c>
      <c r="AE56" s="81">
        <f t="shared" si="22"/>
        <v>329.65961201486323</v>
      </c>
      <c r="AF56" s="82">
        <f t="shared" si="16"/>
        <v>-24.699999999999996</v>
      </c>
      <c r="AG56" s="44">
        <f t="shared" si="17"/>
        <v>-35.900387985136717</v>
      </c>
      <c r="AH56" s="64">
        <f t="shared" si="18"/>
        <v>-2.4758888265611527</v>
      </c>
      <c r="AI56" s="62"/>
      <c r="AK56" s="21"/>
      <c r="AL56" s="87"/>
    </row>
    <row r="57" spans="2:38" s="3" customFormat="1" x14ac:dyDescent="0.3">
      <c r="B57" s="1"/>
      <c r="C57" s="1"/>
      <c r="D57" s="1"/>
      <c r="F57" s="1"/>
      <c r="I57" s="90">
        <v>16500</v>
      </c>
      <c r="J57" s="29">
        <f t="shared" si="3"/>
        <v>10.252650154721811</v>
      </c>
      <c r="K57" s="29">
        <f t="shared" si="4"/>
        <v>410.06499558825362</v>
      </c>
      <c r="L57" s="98">
        <v>287</v>
      </c>
      <c r="M57" s="58">
        <f t="shared" si="5"/>
        <v>-0.1</v>
      </c>
      <c r="N57" s="44">
        <f t="shared" si="19"/>
        <v>-24.799999999999997</v>
      </c>
      <c r="O57" s="44">
        <f t="shared" si="6"/>
        <v>43.02499558825366</v>
      </c>
      <c r="P57" s="54">
        <f t="shared" si="7"/>
        <v>2.9672410750519767</v>
      </c>
      <c r="Q57" s="81">
        <f t="shared" si="20"/>
        <v>603.18801496265542</v>
      </c>
      <c r="R57" s="44">
        <f t="shared" si="9"/>
        <v>-24.799999999999997</v>
      </c>
      <c r="S57" s="65">
        <f t="shared" si="10"/>
        <v>236.14801496265545</v>
      </c>
      <c r="T57" s="44">
        <f t="shared" si="11"/>
        <v>236.14801496265545</v>
      </c>
      <c r="U57" s="64">
        <f t="shared" si="12"/>
        <v>16.286069997424512</v>
      </c>
      <c r="V57" s="65"/>
      <c r="W57" s="65"/>
      <c r="X57" s="65"/>
      <c r="Y57" s="65"/>
      <c r="Z57" s="44"/>
      <c r="AA57" s="81">
        <f t="shared" si="21"/>
        <v>480.1685162861794</v>
      </c>
      <c r="AB57" s="44">
        <f t="shared" si="13"/>
        <v>-24.799999999999997</v>
      </c>
      <c r="AC57" s="44">
        <f t="shared" si="14"/>
        <v>113.12851628617943</v>
      </c>
      <c r="AD57" s="64">
        <f t="shared" si="15"/>
        <v>7.8019666404261674</v>
      </c>
      <c r="AE57" s="81">
        <f t="shared" si="22"/>
        <v>339.96147489032768</v>
      </c>
      <c r="AF57" s="82">
        <f t="shared" si="16"/>
        <v>-24.799999999999997</v>
      </c>
      <c r="AG57" s="44">
        <f t="shared" si="17"/>
        <v>-27.078525109672285</v>
      </c>
      <c r="AH57" s="64">
        <f t="shared" si="18"/>
        <v>-1.8674844903222265</v>
      </c>
      <c r="AI57" s="62"/>
      <c r="AK57" s="21">
        <v>16300</v>
      </c>
      <c r="AL57" s="87"/>
    </row>
    <row r="58" spans="2:38" s="3" customFormat="1" x14ac:dyDescent="0.3">
      <c r="B58" s="1"/>
      <c r="C58" s="1"/>
      <c r="D58" s="1"/>
      <c r="F58" s="1"/>
      <c r="I58" s="90">
        <v>17000</v>
      </c>
      <c r="J58" s="29">
        <f t="shared" si="3"/>
        <v>10.563336523046715</v>
      </c>
      <c r="K58" s="29">
        <f t="shared" si="4"/>
        <v>422.4912075757764</v>
      </c>
      <c r="L58" s="97">
        <v>285</v>
      </c>
      <c r="M58" s="58">
        <f t="shared" si="5"/>
        <v>-0.2</v>
      </c>
      <c r="N58" s="44">
        <f t="shared" si="19"/>
        <v>-24.999999999999996</v>
      </c>
      <c r="O58" s="44">
        <f t="shared" si="6"/>
        <v>52.491207575776457</v>
      </c>
      <c r="P58" s="54">
        <f t="shared" si="7"/>
        <v>3.6200832810880317</v>
      </c>
      <c r="Q58" s="81">
        <f t="shared" si="20"/>
        <v>621.46643965849353</v>
      </c>
      <c r="R58" s="44">
        <f t="shared" si="9"/>
        <v>-24.999999999999996</v>
      </c>
      <c r="S58" s="65">
        <f t="shared" si="10"/>
        <v>251.46643965849358</v>
      </c>
      <c r="T58" s="44">
        <f t="shared" si="11"/>
        <v>251.46643965849358</v>
      </c>
      <c r="U58" s="64">
        <f t="shared" si="12"/>
        <v>17.342513079896108</v>
      </c>
      <c r="V58" s="65"/>
      <c r="W58" s="65"/>
      <c r="X58" s="65"/>
      <c r="Y58" s="65"/>
      <c r="Z58" s="44"/>
      <c r="AA58" s="81">
        <f t="shared" si="21"/>
        <v>494.71907738576061</v>
      </c>
      <c r="AB58" s="44">
        <f t="shared" si="13"/>
        <v>-24.999999999999996</v>
      </c>
      <c r="AC58" s="44">
        <f t="shared" si="14"/>
        <v>124.71907738576067</v>
      </c>
      <c r="AD58" s="64">
        <f t="shared" si="15"/>
        <v>8.6013156817765974</v>
      </c>
      <c r="AE58" s="81">
        <f t="shared" si="22"/>
        <v>350.26333776579219</v>
      </c>
      <c r="AF58" s="82">
        <f t="shared" si="16"/>
        <v>-24.999999999999996</v>
      </c>
      <c r="AG58" s="44">
        <f t="shared" si="17"/>
        <v>-19.736662234207756</v>
      </c>
      <c r="AH58" s="64">
        <f t="shared" si="18"/>
        <v>-1.361149119600535</v>
      </c>
      <c r="AI58" s="62"/>
      <c r="AK58" s="21"/>
      <c r="AL58" s="87"/>
    </row>
    <row r="59" spans="2:38" s="3" customFormat="1" x14ac:dyDescent="0.3">
      <c r="B59" s="1"/>
      <c r="C59" s="1"/>
      <c r="D59" s="1"/>
      <c r="F59" s="1"/>
      <c r="I59" s="90">
        <v>17500</v>
      </c>
      <c r="J59" s="29">
        <f t="shared" si="3"/>
        <v>10.874022891371618</v>
      </c>
      <c r="K59" s="29">
        <f t="shared" si="4"/>
        <v>434.91741956329929</v>
      </c>
      <c r="L59" s="98">
        <v>281</v>
      </c>
      <c r="M59" s="58">
        <f t="shared" si="5"/>
        <v>-0.4</v>
      </c>
      <c r="N59" s="44">
        <f t="shared" si="19"/>
        <v>-25.399999999999995</v>
      </c>
      <c r="O59" s="44">
        <f t="shared" si="6"/>
        <v>58.997419563299331</v>
      </c>
      <c r="P59" s="54">
        <f t="shared" si="7"/>
        <v>4.0687875560896094</v>
      </c>
      <c r="Q59" s="81">
        <f t="shared" si="20"/>
        <v>639.74486435433164</v>
      </c>
      <c r="R59" s="44">
        <f t="shared" si="9"/>
        <v>-25.399999999999995</v>
      </c>
      <c r="S59" s="65">
        <f t="shared" si="10"/>
        <v>263.82486435433168</v>
      </c>
      <c r="T59" s="44">
        <f t="shared" si="11"/>
        <v>263.82486435433168</v>
      </c>
      <c r="U59" s="64">
        <f t="shared" si="12"/>
        <v>18.194818231333219</v>
      </c>
      <c r="V59" s="65"/>
      <c r="W59" s="65"/>
      <c r="X59" s="65"/>
      <c r="Y59" s="65"/>
      <c r="Z59" s="44"/>
      <c r="AA59" s="81">
        <f t="shared" si="21"/>
        <v>509.26963848534189</v>
      </c>
      <c r="AB59" s="44">
        <f t="shared" si="13"/>
        <v>-25.399999999999995</v>
      </c>
      <c r="AC59" s="44">
        <f t="shared" si="14"/>
        <v>133.34963848534193</v>
      </c>
      <c r="AD59" s="64">
        <f t="shared" si="15"/>
        <v>9.1965267920925466</v>
      </c>
      <c r="AE59" s="81">
        <f t="shared" si="22"/>
        <v>360.56520064125669</v>
      </c>
      <c r="AF59" s="82">
        <f t="shared" si="16"/>
        <v>-25.399999999999995</v>
      </c>
      <c r="AG59" s="44">
        <f t="shared" si="17"/>
        <v>-15.354799358743264</v>
      </c>
      <c r="AH59" s="64">
        <f t="shared" si="18"/>
        <v>-1.0589516799133285</v>
      </c>
      <c r="AI59" s="62"/>
      <c r="AK59" s="21"/>
      <c r="AL59" s="87"/>
    </row>
    <row r="60" spans="2:38" s="3" customFormat="1" x14ac:dyDescent="0.3">
      <c r="B60" s="1"/>
      <c r="C60" s="1"/>
      <c r="D60" s="1"/>
      <c r="F60" s="1"/>
      <c r="I60" s="90">
        <v>18000</v>
      </c>
      <c r="J60" s="29">
        <f t="shared" si="3"/>
        <v>11.184709259696522</v>
      </c>
      <c r="K60" s="29">
        <f t="shared" si="4"/>
        <v>447.34363155082212</v>
      </c>
      <c r="L60" s="97">
        <v>288</v>
      </c>
      <c r="M60" s="58">
        <f t="shared" si="5"/>
        <v>0.7</v>
      </c>
      <c r="N60" s="44">
        <f t="shared" si="19"/>
        <v>-24.699999999999996</v>
      </c>
      <c r="O60" s="44">
        <f t="shared" si="6"/>
        <v>81.783631550822179</v>
      </c>
      <c r="P60" s="54">
        <f t="shared" si="7"/>
        <v>5.6402504517808403</v>
      </c>
      <c r="Q60" s="81">
        <f t="shared" si="20"/>
        <v>658.02328905016964</v>
      </c>
      <c r="R60" s="44">
        <f t="shared" si="9"/>
        <v>-24.699999999999996</v>
      </c>
      <c r="S60" s="65">
        <f t="shared" si="10"/>
        <v>292.46328905016969</v>
      </c>
      <c r="T60" s="44">
        <f t="shared" si="11"/>
        <v>292.46328905016969</v>
      </c>
      <c r="U60" s="64">
        <f t="shared" si="12"/>
        <v>20.169882003459978</v>
      </c>
      <c r="V60" s="65"/>
      <c r="W60" s="65"/>
      <c r="X60" s="65"/>
      <c r="Y60" s="65"/>
      <c r="Z60" s="44"/>
      <c r="AA60" s="81">
        <f t="shared" si="21"/>
        <v>523.82019958492299</v>
      </c>
      <c r="AB60" s="44">
        <f t="shared" si="13"/>
        <v>-24.699999999999996</v>
      </c>
      <c r="AC60" s="44">
        <f t="shared" si="14"/>
        <v>158.26019958492304</v>
      </c>
      <c r="AD60" s="64">
        <f t="shared" si="15"/>
        <v>10.914496523098141</v>
      </c>
      <c r="AE60" s="81">
        <f t="shared" si="22"/>
        <v>370.86706351672115</v>
      </c>
      <c r="AF60" s="82">
        <f t="shared" si="16"/>
        <v>-24.699999999999996</v>
      </c>
      <c r="AG60" s="44">
        <f t="shared" si="17"/>
        <v>5.3070635167212004</v>
      </c>
      <c r="AH60" s="64">
        <f t="shared" si="18"/>
        <v>0.36600438046353106</v>
      </c>
      <c r="AI60" s="62"/>
      <c r="AK60" s="21"/>
      <c r="AL60" s="87"/>
    </row>
    <row r="61" spans="2:38" s="3" customFormat="1" x14ac:dyDescent="0.3">
      <c r="B61" s="1"/>
      <c r="C61" s="1"/>
      <c r="D61" s="1"/>
      <c r="F61" s="1"/>
      <c r="I61" s="90">
        <v>18500</v>
      </c>
      <c r="J61" s="29">
        <f t="shared" si="3"/>
        <v>11.495395628021425</v>
      </c>
      <c r="K61" s="29">
        <f t="shared" si="4"/>
        <v>459.76984353834501</v>
      </c>
      <c r="L61" s="98">
        <v>287</v>
      </c>
      <c r="M61" s="58">
        <f t="shared" si="5"/>
        <v>-0.1</v>
      </c>
      <c r="N61" s="44">
        <f t="shared" si="19"/>
        <v>-24.799999999999997</v>
      </c>
      <c r="O61" s="44">
        <f t="shared" si="6"/>
        <v>92.729843538345051</v>
      </c>
      <c r="P61" s="54">
        <f t="shared" si="7"/>
        <v>6.3951616233341415</v>
      </c>
      <c r="Q61" s="81">
        <f t="shared" si="20"/>
        <v>676.30171374600775</v>
      </c>
      <c r="R61" s="44">
        <f t="shared" si="9"/>
        <v>-24.799999999999997</v>
      </c>
      <c r="S61" s="65">
        <f t="shared" si="10"/>
        <v>309.26171374600779</v>
      </c>
      <c r="T61" s="44">
        <f t="shared" si="11"/>
        <v>309.26171374600779</v>
      </c>
      <c r="U61" s="64">
        <f t="shared" si="12"/>
        <v>21.328394051448814</v>
      </c>
      <c r="V61" s="65"/>
      <c r="W61" s="65"/>
      <c r="X61" s="65"/>
      <c r="Y61" s="65"/>
      <c r="Z61" s="44"/>
      <c r="AA61" s="81">
        <f t="shared" si="21"/>
        <v>538.37076068450426</v>
      </c>
      <c r="AB61" s="44">
        <f t="shared" si="13"/>
        <v>-24.799999999999997</v>
      </c>
      <c r="AC61" s="44">
        <f t="shared" si="14"/>
        <v>171.3307606845043</v>
      </c>
      <c r="AD61" s="64">
        <f t="shared" si="15"/>
        <v>11.815914529965813</v>
      </c>
      <c r="AE61" s="81">
        <f t="shared" si="22"/>
        <v>381.16892639218565</v>
      </c>
      <c r="AF61" s="82">
        <f t="shared" si="16"/>
        <v>-24.799999999999997</v>
      </c>
      <c r="AG61" s="44">
        <f t="shared" si="17"/>
        <v>14.12892639218569</v>
      </c>
      <c r="AH61" s="64">
        <f t="shared" si="18"/>
        <v>0.97440871670246143</v>
      </c>
      <c r="AI61" s="62"/>
      <c r="AK61" s="21"/>
      <c r="AL61" s="87"/>
    </row>
    <row r="62" spans="2:38" s="3" customFormat="1" x14ac:dyDescent="0.3">
      <c r="B62" s="1"/>
      <c r="C62" s="1"/>
      <c r="D62" s="1"/>
      <c r="F62" s="1"/>
      <c r="I62" s="90">
        <v>19000</v>
      </c>
      <c r="J62" s="29">
        <f t="shared" si="3"/>
        <v>11.806081996346329</v>
      </c>
      <c r="K62" s="29">
        <f t="shared" si="4"/>
        <v>472.19605552586785</v>
      </c>
      <c r="L62" s="97">
        <v>284</v>
      </c>
      <c r="M62" s="58">
        <f t="shared" si="5"/>
        <v>-0.3</v>
      </c>
      <c r="N62" s="44">
        <f t="shared" si="19"/>
        <v>-25.099999999999998</v>
      </c>
      <c r="O62" s="44">
        <f t="shared" si="6"/>
        <v>100.71605552586789</v>
      </c>
      <c r="P62" s="54">
        <f t="shared" si="7"/>
        <v>6.9459348638529574</v>
      </c>
      <c r="Q62" s="81">
        <f t="shared" si="20"/>
        <v>694.58013844184575</v>
      </c>
      <c r="R62" s="44">
        <f t="shared" si="9"/>
        <v>-25.099999999999998</v>
      </c>
      <c r="S62" s="65">
        <f t="shared" si="10"/>
        <v>323.10013844184579</v>
      </c>
      <c r="T62" s="44">
        <f t="shared" si="11"/>
        <v>323.10013844184579</v>
      </c>
      <c r="U62" s="64">
        <f t="shared" si="12"/>
        <v>22.282768168403159</v>
      </c>
      <c r="V62" s="65"/>
      <c r="W62" s="65"/>
      <c r="X62" s="65"/>
      <c r="Y62" s="65"/>
      <c r="Z62" s="44"/>
      <c r="AA62" s="81">
        <f t="shared" si="21"/>
        <v>552.92132178408542</v>
      </c>
      <c r="AB62" s="44">
        <f t="shared" si="13"/>
        <v>-25.099999999999998</v>
      </c>
      <c r="AC62" s="44">
        <f t="shared" si="14"/>
        <v>181.44132178408546</v>
      </c>
      <c r="AD62" s="64">
        <f t="shared" si="15"/>
        <v>12.513194605798997</v>
      </c>
      <c r="AE62" s="81">
        <f t="shared" si="22"/>
        <v>391.4707892676501</v>
      </c>
      <c r="AF62" s="82">
        <f t="shared" si="16"/>
        <v>-25.099999999999998</v>
      </c>
      <c r="AG62" s="44">
        <f t="shared" si="17"/>
        <v>19.990789267650143</v>
      </c>
      <c r="AH62" s="64">
        <f t="shared" si="18"/>
        <v>1.3786751219069064</v>
      </c>
      <c r="AI62" s="72"/>
      <c r="AK62" s="21"/>
      <c r="AL62" s="87"/>
    </row>
    <row r="63" spans="2:38" s="3" customFormat="1" x14ac:dyDescent="0.3">
      <c r="B63" s="1"/>
      <c r="C63" s="1"/>
      <c r="D63" s="1"/>
      <c r="F63" s="1"/>
      <c r="I63" s="90">
        <v>19500</v>
      </c>
      <c r="J63" s="29">
        <f t="shared" si="3"/>
        <v>12.116768364671232</v>
      </c>
      <c r="K63" s="29">
        <f t="shared" si="4"/>
        <v>484.62226751339063</v>
      </c>
      <c r="L63" s="98">
        <v>285</v>
      </c>
      <c r="M63" s="58">
        <f t="shared" si="5"/>
        <v>0.1</v>
      </c>
      <c r="N63" s="44">
        <f t="shared" si="19"/>
        <v>-24.999999999999996</v>
      </c>
      <c r="O63" s="44">
        <f t="shared" si="6"/>
        <v>114.62226751339068</v>
      </c>
      <c r="P63" s="54">
        <f t="shared" si="7"/>
        <v>7.9049839664407369</v>
      </c>
      <c r="Q63" s="81">
        <f t="shared" si="20"/>
        <v>712.85856313768375</v>
      </c>
      <c r="R63" s="44">
        <f t="shared" si="9"/>
        <v>-24.999999999999996</v>
      </c>
      <c r="S63" s="65">
        <f t="shared" si="10"/>
        <v>342.8585631376838</v>
      </c>
      <c r="T63" s="44">
        <f t="shared" si="11"/>
        <v>342.8585631376838</v>
      </c>
      <c r="U63" s="64">
        <f t="shared" si="12"/>
        <v>23.645418147426469</v>
      </c>
      <c r="V63" s="65"/>
      <c r="W63" s="65"/>
      <c r="X63" s="65"/>
      <c r="Y63" s="65"/>
      <c r="Z63" s="44"/>
      <c r="AA63" s="81">
        <f t="shared" si="21"/>
        <v>567.47188288366658</v>
      </c>
      <c r="AB63" s="44">
        <f t="shared" si="13"/>
        <v>-24.999999999999996</v>
      </c>
      <c r="AC63" s="44">
        <f t="shared" si="14"/>
        <v>197.47188288366664</v>
      </c>
      <c r="AD63" s="64">
        <f t="shared" si="15"/>
        <v>13.618750543701147</v>
      </c>
      <c r="AE63" s="81">
        <f t="shared" si="22"/>
        <v>401.77265214311461</v>
      </c>
      <c r="AF63" s="82">
        <f t="shared" si="16"/>
        <v>-24.999999999999996</v>
      </c>
      <c r="AG63" s="44">
        <f t="shared" si="17"/>
        <v>31.772652143114669</v>
      </c>
      <c r="AH63" s="64">
        <f t="shared" si="18"/>
        <v>2.1912173891803222</v>
      </c>
      <c r="AI63" s="62"/>
      <c r="AK63" s="21"/>
      <c r="AL63" s="87"/>
    </row>
    <row r="64" spans="2:38" s="3" customFormat="1" x14ac:dyDescent="0.3">
      <c r="B64" s="1"/>
      <c r="C64" s="1"/>
      <c r="D64" s="1"/>
      <c r="F64" s="1"/>
      <c r="I64" s="90">
        <v>20000</v>
      </c>
      <c r="J64" s="29">
        <f t="shared" si="3"/>
        <v>12.427454732996136</v>
      </c>
      <c r="K64" s="29">
        <f t="shared" si="4"/>
        <v>497.04847950091346</v>
      </c>
      <c r="L64" s="97">
        <v>287</v>
      </c>
      <c r="M64" s="58">
        <f t="shared" si="5"/>
        <v>0.2</v>
      </c>
      <c r="N64" s="44">
        <f t="shared" si="19"/>
        <v>-24.799999999999997</v>
      </c>
      <c r="O64" s="44">
        <f t="shared" si="6"/>
        <v>130.0084795009135</v>
      </c>
      <c r="P64" s="54">
        <f t="shared" si="7"/>
        <v>8.9661020345457576</v>
      </c>
      <c r="Q64" s="81">
        <f t="shared" si="20"/>
        <v>731.13698783352174</v>
      </c>
      <c r="R64" s="44">
        <f t="shared" si="9"/>
        <v>-24.799999999999997</v>
      </c>
      <c r="S64" s="65">
        <f t="shared" si="10"/>
        <v>364.09698783352178</v>
      </c>
      <c r="T64" s="44">
        <f t="shared" si="11"/>
        <v>364.09698783352178</v>
      </c>
      <c r="U64" s="64">
        <f t="shared" si="12"/>
        <v>25.110137091967019</v>
      </c>
      <c r="V64" s="65"/>
      <c r="W64" s="65"/>
      <c r="X64" s="65"/>
      <c r="Y64" s="65"/>
      <c r="Z64" s="44"/>
      <c r="AA64" s="81">
        <f t="shared" si="21"/>
        <v>582.02244398324774</v>
      </c>
      <c r="AB64" s="44">
        <f t="shared" si="13"/>
        <v>-24.799999999999997</v>
      </c>
      <c r="AC64" s="44">
        <f t="shared" si="14"/>
        <v>214.98244398324778</v>
      </c>
      <c r="AD64" s="64">
        <f t="shared" si="15"/>
        <v>14.826375447120537</v>
      </c>
      <c r="AE64" s="81">
        <f t="shared" si="22"/>
        <v>412.07451501857906</v>
      </c>
      <c r="AF64" s="82">
        <f t="shared" si="16"/>
        <v>-24.799999999999997</v>
      </c>
      <c r="AG64" s="44">
        <f t="shared" si="17"/>
        <v>45.0345150185791</v>
      </c>
      <c r="AH64" s="64">
        <f t="shared" si="18"/>
        <v>3.1058286219709723</v>
      </c>
      <c r="AI64" s="62"/>
      <c r="AK64" s="21"/>
      <c r="AL64" s="87"/>
    </row>
    <row r="65" spans="2:38" s="3" customFormat="1" x14ac:dyDescent="0.3">
      <c r="B65" s="1"/>
      <c r="C65" s="1"/>
      <c r="D65" s="1"/>
      <c r="F65" s="1"/>
      <c r="I65" s="90">
        <v>20500</v>
      </c>
      <c r="J65" s="29">
        <f t="shared" si="3"/>
        <v>12.738141101321039</v>
      </c>
      <c r="K65" s="29">
        <f t="shared" si="4"/>
        <v>509.47469148843635</v>
      </c>
      <c r="L65" s="98">
        <v>283</v>
      </c>
      <c r="M65" s="58">
        <f t="shared" si="5"/>
        <v>-0.4</v>
      </c>
      <c r="N65" s="44">
        <f t="shared" si="19"/>
        <v>-25.199999999999996</v>
      </c>
      <c r="O65" s="44">
        <f t="shared" si="6"/>
        <v>136.51469148843637</v>
      </c>
      <c r="P65" s="54">
        <f t="shared" si="7"/>
        <v>9.4148063095473358</v>
      </c>
      <c r="Q65" s="81">
        <f t="shared" si="20"/>
        <v>749.41541252935997</v>
      </c>
      <c r="R65" s="44">
        <f t="shared" si="9"/>
        <v>-25.199999999999996</v>
      </c>
      <c r="S65" s="65">
        <f t="shared" si="10"/>
        <v>376.45541252935999</v>
      </c>
      <c r="T65" s="44">
        <f t="shared" si="11"/>
        <v>376.45541252935999</v>
      </c>
      <c r="U65" s="64">
        <f t="shared" si="12"/>
        <v>25.962442243404137</v>
      </c>
      <c r="V65" s="65"/>
      <c r="W65" s="65"/>
      <c r="X65" s="65"/>
      <c r="Y65" s="65"/>
      <c r="Z65" s="44"/>
      <c r="AA65" s="81">
        <f t="shared" si="21"/>
        <v>596.57300508282901</v>
      </c>
      <c r="AB65" s="44">
        <f t="shared" si="13"/>
        <v>-25.199999999999996</v>
      </c>
      <c r="AC65" s="44">
        <f t="shared" si="14"/>
        <v>223.61300508282903</v>
      </c>
      <c r="AD65" s="64">
        <f t="shared" si="15"/>
        <v>15.421586557436486</v>
      </c>
      <c r="AE65" s="81">
        <f t="shared" si="22"/>
        <v>422.37637789404357</v>
      </c>
      <c r="AF65" s="82">
        <f t="shared" si="16"/>
        <v>-25.199999999999996</v>
      </c>
      <c r="AG65" s="44">
        <f t="shared" si="17"/>
        <v>49.416377894043592</v>
      </c>
      <c r="AH65" s="64">
        <f t="shared" si="18"/>
        <v>3.4080260616581786</v>
      </c>
      <c r="AI65" s="62"/>
      <c r="AK65" s="21"/>
      <c r="AL65" s="87"/>
    </row>
    <row r="66" spans="2:38" s="3" customFormat="1" x14ac:dyDescent="0.3">
      <c r="B66" s="1"/>
      <c r="C66" s="1"/>
      <c r="D66" s="1"/>
      <c r="F66" s="1"/>
      <c r="I66" s="90">
        <v>21000</v>
      </c>
      <c r="J66" s="29">
        <f t="shared" si="3"/>
        <v>13.048827469645943</v>
      </c>
      <c r="K66" s="29">
        <f t="shared" si="4"/>
        <v>521.90090347595913</v>
      </c>
      <c r="L66" s="97">
        <v>283</v>
      </c>
      <c r="M66" s="58">
        <f t="shared" si="5"/>
        <v>0</v>
      </c>
      <c r="N66" s="44">
        <f t="shared" si="19"/>
        <v>-25.199999999999996</v>
      </c>
      <c r="O66" s="44">
        <f t="shared" si="6"/>
        <v>148.94090347595915</v>
      </c>
      <c r="P66" s="54">
        <f t="shared" si="7"/>
        <v>10.271786446617872</v>
      </c>
      <c r="Q66" s="81">
        <f t="shared" si="20"/>
        <v>767.69383722519797</v>
      </c>
      <c r="R66" s="44">
        <f t="shared" si="9"/>
        <v>-25.199999999999996</v>
      </c>
      <c r="S66" s="65">
        <f t="shared" si="10"/>
        <v>394.73383722519799</v>
      </c>
      <c r="T66" s="44">
        <f t="shared" si="11"/>
        <v>394.73383722519799</v>
      </c>
      <c r="U66" s="64">
        <f t="shared" si="12"/>
        <v>27.223023256910206</v>
      </c>
      <c r="V66" s="65"/>
      <c r="W66" s="65"/>
      <c r="X66" s="65"/>
      <c r="Y66" s="65"/>
      <c r="Z66" s="44"/>
      <c r="AA66" s="81">
        <f t="shared" si="21"/>
        <v>611.12356618241029</v>
      </c>
      <c r="AB66" s="44">
        <f t="shared" si="13"/>
        <v>-25.199999999999996</v>
      </c>
      <c r="AC66" s="44">
        <f t="shared" si="14"/>
        <v>238.16356618241031</v>
      </c>
      <c r="AD66" s="64">
        <f t="shared" si="15"/>
        <v>16.4250735298214</v>
      </c>
      <c r="AE66" s="81">
        <f t="shared" si="22"/>
        <v>432.67824076950802</v>
      </c>
      <c r="AF66" s="82">
        <f t="shared" si="16"/>
        <v>-25.199999999999996</v>
      </c>
      <c r="AG66" s="44">
        <f t="shared" si="17"/>
        <v>59.718240769508043</v>
      </c>
      <c r="AH66" s="64">
        <f t="shared" si="18"/>
        <v>4.1184993634143474</v>
      </c>
      <c r="AI66" s="62"/>
      <c r="AK66" s="21"/>
      <c r="AL66" s="87"/>
    </row>
    <row r="67" spans="2:38" s="3" customFormat="1" x14ac:dyDescent="0.3">
      <c r="B67" s="1"/>
      <c r="C67" s="1"/>
      <c r="D67" s="1"/>
      <c r="F67" s="1"/>
      <c r="I67" s="90">
        <v>21500</v>
      </c>
      <c r="J67" s="29">
        <f t="shared" si="3"/>
        <v>13.359513837970846</v>
      </c>
      <c r="K67" s="29">
        <f t="shared" si="4"/>
        <v>534.32711546348196</v>
      </c>
      <c r="L67" s="98">
        <v>276</v>
      </c>
      <c r="M67" s="58">
        <f t="shared" si="5"/>
        <v>-0.7</v>
      </c>
      <c r="N67" s="44">
        <f t="shared" si="19"/>
        <v>-25.899999999999995</v>
      </c>
      <c r="O67" s="44">
        <f t="shared" si="6"/>
        <v>151.00711546348202</v>
      </c>
      <c r="P67" s="54">
        <f t="shared" si="7"/>
        <v>10.414283825067725</v>
      </c>
      <c r="Q67" s="81">
        <f t="shared" si="20"/>
        <v>785.97226192103597</v>
      </c>
      <c r="R67" s="44">
        <f t="shared" si="9"/>
        <v>-25.899999999999995</v>
      </c>
      <c r="S67" s="65">
        <f t="shared" si="10"/>
        <v>402.65226192103603</v>
      </c>
      <c r="T67" s="44">
        <f t="shared" si="11"/>
        <v>402.65226192103603</v>
      </c>
      <c r="U67" s="64">
        <f t="shared" si="12"/>
        <v>27.769121511795589</v>
      </c>
      <c r="V67" s="65"/>
      <c r="W67" s="65"/>
      <c r="X67" s="65"/>
      <c r="Y67" s="65"/>
      <c r="Z67" s="44"/>
      <c r="AA67" s="81">
        <f t="shared" si="21"/>
        <v>625.67412728199145</v>
      </c>
      <c r="AB67" s="44">
        <f t="shared" si="13"/>
        <v>-25.899999999999995</v>
      </c>
      <c r="AC67" s="44">
        <f t="shared" si="14"/>
        <v>242.35412728199151</v>
      </c>
      <c r="AD67" s="64">
        <f t="shared" si="15"/>
        <v>16.714077743585623</v>
      </c>
      <c r="AE67" s="81">
        <f t="shared" si="22"/>
        <v>442.98010364497247</v>
      </c>
      <c r="AF67" s="82">
        <f t="shared" si="16"/>
        <v>-25.899999999999995</v>
      </c>
      <c r="AG67" s="44">
        <f t="shared" si="17"/>
        <v>59.660103644972537</v>
      </c>
      <c r="AH67" s="64">
        <f t="shared" si="18"/>
        <v>4.1144899065498297</v>
      </c>
      <c r="AI67" s="62"/>
      <c r="AK67" s="21"/>
      <c r="AL67" s="87"/>
    </row>
    <row r="68" spans="2:38" s="3" customFormat="1" x14ac:dyDescent="0.3">
      <c r="B68" s="1"/>
      <c r="C68" s="1"/>
      <c r="D68" s="1"/>
      <c r="F68" s="1"/>
      <c r="I68" s="90">
        <v>22000</v>
      </c>
      <c r="J68" s="29">
        <f t="shared" si="3"/>
        <v>13.67020020629575</v>
      </c>
      <c r="K68" s="29">
        <f t="shared" si="4"/>
        <v>546.75332745100491</v>
      </c>
      <c r="L68" s="97">
        <v>274</v>
      </c>
      <c r="M68" s="58">
        <f t="shared" si="5"/>
        <v>-0.2</v>
      </c>
      <c r="N68" s="44">
        <f t="shared" si="19"/>
        <v>-26.099999999999994</v>
      </c>
      <c r="O68" s="44">
        <f t="shared" si="6"/>
        <v>160.47332745100499</v>
      </c>
      <c r="P68" s="54">
        <f t="shared" si="7"/>
        <v>11.067126031103793</v>
      </c>
      <c r="Q68" s="81">
        <f t="shared" si="20"/>
        <v>804.25068661687408</v>
      </c>
      <c r="R68" s="44">
        <f t="shared" si="9"/>
        <v>-26.099999999999994</v>
      </c>
      <c r="S68" s="65">
        <f t="shared" si="10"/>
        <v>417.97068661687416</v>
      </c>
      <c r="T68" s="44">
        <f t="shared" si="11"/>
        <v>417.97068661687416</v>
      </c>
      <c r="U68" s="64">
        <f t="shared" si="12"/>
        <v>28.825564594267185</v>
      </c>
      <c r="V68" s="65"/>
      <c r="W68" s="65"/>
      <c r="X68" s="65"/>
      <c r="Y68" s="65"/>
      <c r="Z68" s="44"/>
      <c r="AA68" s="81">
        <f t="shared" si="21"/>
        <v>640.22468838157272</v>
      </c>
      <c r="AB68" s="44">
        <f t="shared" si="13"/>
        <v>-26.099999999999994</v>
      </c>
      <c r="AC68" s="44">
        <f t="shared" si="14"/>
        <v>253.9446883815728</v>
      </c>
      <c r="AD68" s="64">
        <f t="shared" si="15"/>
        <v>17.513426784936055</v>
      </c>
      <c r="AE68" s="81">
        <f t="shared" si="22"/>
        <v>453.28196652043704</v>
      </c>
      <c r="AF68" s="82">
        <f t="shared" si="16"/>
        <v>-26.099999999999994</v>
      </c>
      <c r="AG68" s="44">
        <f t="shared" si="17"/>
        <v>67.001966520437122</v>
      </c>
      <c r="AH68" s="64">
        <f t="shared" si="18"/>
        <v>4.6208252772715257</v>
      </c>
      <c r="AI68" s="62"/>
      <c r="AK68" s="21"/>
      <c r="AL68" s="87"/>
    </row>
    <row r="69" spans="2:38" s="3" customFormat="1" x14ac:dyDescent="0.3">
      <c r="B69" s="1"/>
      <c r="C69" s="1"/>
      <c r="D69" s="1"/>
      <c r="F69" s="1"/>
      <c r="I69" s="90">
        <v>22500</v>
      </c>
      <c r="J69" s="29">
        <f t="shared" si="3"/>
        <v>13.980886574620653</v>
      </c>
      <c r="K69" s="29">
        <f t="shared" si="4"/>
        <v>559.17953943852774</v>
      </c>
      <c r="L69" s="98">
        <v>270</v>
      </c>
      <c r="M69" s="58">
        <f t="shared" si="5"/>
        <v>-0.4</v>
      </c>
      <c r="N69" s="44">
        <f t="shared" si="19"/>
        <v>-26.499999999999993</v>
      </c>
      <c r="O69" s="44">
        <f t="shared" si="6"/>
        <v>166.97953943852781</v>
      </c>
      <c r="P69" s="54">
        <f t="shared" si="7"/>
        <v>11.515830306105366</v>
      </c>
      <c r="Q69" s="81">
        <f t="shared" si="20"/>
        <v>822.52911131271208</v>
      </c>
      <c r="R69" s="44">
        <f t="shared" si="9"/>
        <v>-26.499999999999993</v>
      </c>
      <c r="S69" s="65">
        <f t="shared" si="10"/>
        <v>430.32911131271214</v>
      </c>
      <c r="T69" s="44">
        <f t="shared" si="11"/>
        <v>430.32911131271214</v>
      </c>
      <c r="U69" s="64">
        <f t="shared" si="12"/>
        <v>29.677869745704285</v>
      </c>
      <c r="V69" s="65"/>
      <c r="W69" s="65"/>
      <c r="X69" s="65"/>
      <c r="Y69" s="65"/>
      <c r="Z69" s="44"/>
      <c r="AA69" s="81">
        <f t="shared" si="21"/>
        <v>654.77524948115388</v>
      </c>
      <c r="AB69" s="44">
        <f t="shared" si="13"/>
        <v>-26.499999999999993</v>
      </c>
      <c r="AC69" s="44">
        <f t="shared" si="14"/>
        <v>262.57524948115395</v>
      </c>
      <c r="AD69" s="64">
        <f t="shared" si="15"/>
        <v>18.108637895251995</v>
      </c>
      <c r="AE69" s="81">
        <f t="shared" si="22"/>
        <v>463.58382939590149</v>
      </c>
      <c r="AF69" s="82">
        <f t="shared" si="16"/>
        <v>-26.499999999999993</v>
      </c>
      <c r="AG69" s="44">
        <f t="shared" si="17"/>
        <v>71.383829395901557</v>
      </c>
      <c r="AH69" s="64">
        <f t="shared" si="18"/>
        <v>4.9230227169587284</v>
      </c>
      <c r="AI69" s="62"/>
      <c r="AK69" s="21"/>
      <c r="AL69" s="87"/>
    </row>
    <row r="70" spans="2:38" s="3" customFormat="1" x14ac:dyDescent="0.3">
      <c r="B70" s="1"/>
      <c r="C70" s="1"/>
      <c r="D70" s="1"/>
      <c r="F70" s="1"/>
      <c r="I70" s="90">
        <v>23000</v>
      </c>
      <c r="J70" s="29">
        <f t="shared" si="3"/>
        <v>14.291572942945557</v>
      </c>
      <c r="K70" s="29">
        <f t="shared" si="4"/>
        <v>571.60575142605057</v>
      </c>
      <c r="L70" s="97">
        <v>267</v>
      </c>
      <c r="M70" s="58">
        <f t="shared" si="5"/>
        <v>-0.3</v>
      </c>
      <c r="N70" s="44">
        <f t="shared" si="19"/>
        <v>-26.799999999999994</v>
      </c>
      <c r="O70" s="44">
        <f t="shared" si="6"/>
        <v>174.96575142605064</v>
      </c>
      <c r="P70" s="54">
        <f t="shared" si="7"/>
        <v>12.066603546624183</v>
      </c>
      <c r="Q70" s="81">
        <f t="shared" si="20"/>
        <v>840.80753600855019</v>
      </c>
      <c r="R70" s="44">
        <f t="shared" si="9"/>
        <v>-26.799999999999994</v>
      </c>
      <c r="S70" s="65">
        <f t="shared" si="10"/>
        <v>444.16753600855026</v>
      </c>
      <c r="T70" s="44">
        <f t="shared" si="11"/>
        <v>444.16753600855026</v>
      </c>
      <c r="U70" s="64">
        <f t="shared" si="12"/>
        <v>30.632243862658637</v>
      </c>
      <c r="V70" s="65"/>
      <c r="W70" s="65"/>
      <c r="X70" s="65"/>
      <c r="Y70" s="65"/>
      <c r="Z70" s="44"/>
      <c r="AA70" s="81">
        <f t="shared" si="21"/>
        <v>669.32581058073515</v>
      </c>
      <c r="AB70" s="44">
        <f t="shared" si="13"/>
        <v>-26.799999999999994</v>
      </c>
      <c r="AC70" s="44">
        <f t="shared" si="14"/>
        <v>272.68581058073522</v>
      </c>
      <c r="AD70" s="64">
        <f t="shared" si="15"/>
        <v>18.805917971085186</v>
      </c>
      <c r="AE70" s="81">
        <f t="shared" si="22"/>
        <v>473.885692271366</v>
      </c>
      <c r="AF70" s="82">
        <f t="shared" si="16"/>
        <v>-26.799999999999994</v>
      </c>
      <c r="AG70" s="44">
        <f t="shared" si="17"/>
        <v>77.245692271366067</v>
      </c>
      <c r="AH70" s="64">
        <f t="shared" si="18"/>
        <v>5.3272891221631768</v>
      </c>
      <c r="AI70" s="62"/>
      <c r="AK70" s="21"/>
      <c r="AL70" s="87"/>
    </row>
    <row r="71" spans="2:38" s="3" customFormat="1" x14ac:dyDescent="0.3">
      <c r="B71" s="1"/>
      <c r="C71" s="1"/>
      <c r="D71" s="1"/>
      <c r="F71" s="1"/>
      <c r="I71" s="90">
        <v>23500</v>
      </c>
      <c r="J71" s="29">
        <f t="shared" si="3"/>
        <v>14.60225931127046</v>
      </c>
      <c r="K71" s="29">
        <f t="shared" si="4"/>
        <v>584.03196341357341</v>
      </c>
      <c r="L71" s="98">
        <v>268</v>
      </c>
      <c r="M71" s="58">
        <f t="shared" si="5"/>
        <v>0.1</v>
      </c>
      <c r="N71" s="44">
        <f t="shared" si="19"/>
        <v>-26.699999999999992</v>
      </c>
      <c r="O71" s="44">
        <f t="shared" si="6"/>
        <v>188.8719634135735</v>
      </c>
      <c r="P71" s="54">
        <f t="shared" si="7"/>
        <v>13.025652649211965</v>
      </c>
      <c r="Q71" s="81">
        <f t="shared" si="20"/>
        <v>859.08596070438819</v>
      </c>
      <c r="R71" s="44">
        <f t="shared" si="9"/>
        <v>-26.699999999999992</v>
      </c>
      <c r="S71" s="65">
        <f t="shared" si="10"/>
        <v>463.92596070438827</v>
      </c>
      <c r="T71" s="44">
        <f t="shared" si="11"/>
        <v>463.92596070438827</v>
      </c>
      <c r="U71" s="64">
        <f t="shared" si="12"/>
        <v>31.99489384168195</v>
      </c>
      <c r="V71" s="65"/>
      <c r="W71" s="65"/>
      <c r="X71" s="65"/>
      <c r="Y71" s="65"/>
      <c r="Z71" s="44"/>
      <c r="AA71" s="81">
        <f t="shared" si="21"/>
        <v>683.87637168031631</v>
      </c>
      <c r="AB71" s="44">
        <f t="shared" si="13"/>
        <v>-26.699999999999992</v>
      </c>
      <c r="AC71" s="44">
        <f t="shared" si="14"/>
        <v>288.7163716803164</v>
      </c>
      <c r="AD71" s="64">
        <f t="shared" si="15"/>
        <v>19.91147390898734</v>
      </c>
      <c r="AE71" s="81">
        <f t="shared" si="22"/>
        <v>484.18755514683045</v>
      </c>
      <c r="AF71" s="82">
        <f t="shared" si="16"/>
        <v>-26.699999999999992</v>
      </c>
      <c r="AG71" s="44">
        <f t="shared" si="17"/>
        <v>89.027555146830537</v>
      </c>
      <c r="AH71" s="64">
        <f t="shared" si="18"/>
        <v>6.1398313894365888</v>
      </c>
      <c r="AI71" s="62"/>
      <c r="AK71" s="21"/>
      <c r="AL71" s="87"/>
    </row>
    <row r="72" spans="2:38" s="3" customFormat="1" x14ac:dyDescent="0.3">
      <c r="B72" s="1"/>
      <c r="C72" s="1"/>
      <c r="D72" s="1"/>
      <c r="F72" s="1"/>
      <c r="I72" s="90">
        <v>24000</v>
      </c>
      <c r="J72" s="29">
        <f t="shared" si="3"/>
        <v>14.912945679595364</v>
      </c>
      <c r="K72" s="29">
        <f t="shared" si="4"/>
        <v>596.45817540109613</v>
      </c>
      <c r="L72" s="97">
        <v>267</v>
      </c>
      <c r="M72" s="58">
        <f t="shared" si="5"/>
        <v>-0.1</v>
      </c>
      <c r="N72" s="44">
        <f t="shared" si="19"/>
        <v>-26.799999999999994</v>
      </c>
      <c r="O72" s="44">
        <f t="shared" si="6"/>
        <v>199.8181754010962</v>
      </c>
      <c r="P72" s="54">
        <f t="shared" si="7"/>
        <v>13.780563820765256</v>
      </c>
      <c r="Q72" s="81">
        <f t="shared" si="20"/>
        <v>877.36438540022607</v>
      </c>
      <c r="R72" s="44">
        <f t="shared" si="9"/>
        <v>-26.799999999999994</v>
      </c>
      <c r="S72" s="65">
        <f t="shared" si="10"/>
        <v>480.72438540022614</v>
      </c>
      <c r="T72" s="44">
        <f t="shared" si="11"/>
        <v>480.72438540022614</v>
      </c>
      <c r="U72" s="64">
        <f t="shared" si="12"/>
        <v>33.153405889670765</v>
      </c>
      <c r="V72" s="65"/>
      <c r="W72" s="65"/>
      <c r="X72" s="65"/>
      <c r="Y72" s="65"/>
      <c r="Z72" s="44"/>
      <c r="AA72" s="81">
        <f t="shared" si="21"/>
        <v>698.42693277989736</v>
      </c>
      <c r="AB72" s="44">
        <f t="shared" si="13"/>
        <v>-26.799999999999994</v>
      </c>
      <c r="AC72" s="44">
        <f t="shared" si="14"/>
        <v>301.78693277989743</v>
      </c>
      <c r="AD72" s="64">
        <f t="shared" si="15"/>
        <v>20.812891915854994</v>
      </c>
      <c r="AE72" s="81">
        <f t="shared" si="22"/>
        <v>494.48941802229484</v>
      </c>
      <c r="AF72" s="82">
        <f t="shared" si="16"/>
        <v>-26.799999999999994</v>
      </c>
      <c r="AG72" s="44">
        <f t="shared" si="17"/>
        <v>97.849418022294913</v>
      </c>
      <c r="AH72" s="64">
        <f t="shared" si="18"/>
        <v>6.748235725675511</v>
      </c>
      <c r="AI72" s="62"/>
      <c r="AK72" s="21"/>
      <c r="AL72" s="87"/>
    </row>
    <row r="73" spans="2:38" s="3" customFormat="1" x14ac:dyDescent="0.3">
      <c r="B73" s="1"/>
      <c r="C73" s="1"/>
      <c r="D73" s="1"/>
      <c r="F73" s="1"/>
      <c r="I73" s="90">
        <v>24500</v>
      </c>
      <c r="J73" s="29">
        <f t="shared" si="3"/>
        <v>15.223632047920265</v>
      </c>
      <c r="K73" s="29">
        <f t="shared" si="4"/>
        <v>608.88438738861896</v>
      </c>
      <c r="L73" s="98">
        <v>264</v>
      </c>
      <c r="M73" s="58">
        <f t="shared" si="5"/>
        <v>-0.3</v>
      </c>
      <c r="N73" s="44">
        <f t="shared" si="19"/>
        <v>-27.099999999999994</v>
      </c>
      <c r="O73" s="44">
        <f t="shared" si="6"/>
        <v>207.80438738861903</v>
      </c>
      <c r="P73" s="54">
        <f t="shared" si="7"/>
        <v>14.331337061284071</v>
      </c>
      <c r="Q73" s="81">
        <f t="shared" si="20"/>
        <v>895.64281009606418</v>
      </c>
      <c r="R73" s="44">
        <f t="shared" si="9"/>
        <v>-27.099999999999994</v>
      </c>
      <c r="S73" s="65">
        <f t="shared" si="10"/>
        <v>494.56281009606425</v>
      </c>
      <c r="T73" s="44">
        <f t="shared" si="11"/>
        <v>494.56281009606425</v>
      </c>
      <c r="U73" s="64">
        <f t="shared" si="12"/>
        <v>34.10778000662512</v>
      </c>
      <c r="V73" s="65"/>
      <c r="W73" s="65"/>
      <c r="X73" s="65"/>
      <c r="Y73" s="65"/>
      <c r="Z73" s="44"/>
      <c r="AA73" s="81">
        <f t="shared" si="21"/>
        <v>712.97749387947852</v>
      </c>
      <c r="AB73" s="44">
        <f t="shared" si="13"/>
        <v>-27.099999999999994</v>
      </c>
      <c r="AC73" s="44">
        <f t="shared" si="14"/>
        <v>311.89749387947859</v>
      </c>
      <c r="AD73" s="64">
        <f t="shared" si="15"/>
        <v>21.510171991688178</v>
      </c>
      <c r="AE73" s="81">
        <f t="shared" si="22"/>
        <v>504.79128089775929</v>
      </c>
      <c r="AF73" s="82">
        <f t="shared" si="16"/>
        <v>-27.099999999999994</v>
      </c>
      <c r="AG73" s="44">
        <f t="shared" si="17"/>
        <v>103.71128089775937</v>
      </c>
      <c r="AH73" s="64">
        <f t="shared" si="18"/>
        <v>7.1525021308799559</v>
      </c>
      <c r="AI73" s="62"/>
      <c r="AK73" s="21"/>
      <c r="AL73" s="87"/>
    </row>
    <row r="74" spans="2:38" s="3" customFormat="1" x14ac:dyDescent="0.3">
      <c r="B74" s="1"/>
      <c r="C74" s="1"/>
      <c r="D74" s="1"/>
      <c r="F74" s="1"/>
      <c r="I74" s="90">
        <v>25000</v>
      </c>
      <c r="J74" s="29">
        <f t="shared" si="3"/>
        <v>15.534318416245169</v>
      </c>
      <c r="K74" s="29">
        <f t="shared" si="4"/>
        <v>621.31059937614179</v>
      </c>
      <c r="L74" s="97">
        <v>266</v>
      </c>
      <c r="M74" s="58">
        <f t="shared" si="5"/>
        <v>0.2</v>
      </c>
      <c r="N74" s="44">
        <f t="shared" si="19"/>
        <v>-26.899999999999995</v>
      </c>
      <c r="O74" s="44">
        <f t="shared" si="6"/>
        <v>223.19059937614185</v>
      </c>
      <c r="P74" s="54">
        <f t="shared" si="7"/>
        <v>15.392455129389093</v>
      </c>
      <c r="Q74" s="81">
        <f t="shared" si="20"/>
        <v>913.92123479190229</v>
      </c>
      <c r="R74" s="44">
        <f t="shared" si="9"/>
        <v>-26.899999999999995</v>
      </c>
      <c r="S74" s="65">
        <f t="shared" si="10"/>
        <v>515.80123479190229</v>
      </c>
      <c r="T74" s="44">
        <f t="shared" si="11"/>
        <v>515.80123479190229</v>
      </c>
      <c r="U74" s="64">
        <f t="shared" si="12"/>
        <v>35.572498951165677</v>
      </c>
      <c r="V74" s="65"/>
      <c r="W74" s="65"/>
      <c r="X74" s="65"/>
      <c r="Y74" s="65"/>
      <c r="Z74" s="44"/>
      <c r="AA74" s="81">
        <f t="shared" si="21"/>
        <v>727.52805497905979</v>
      </c>
      <c r="AB74" s="44">
        <f t="shared" si="13"/>
        <v>-26.899999999999995</v>
      </c>
      <c r="AC74" s="44">
        <f t="shared" si="14"/>
        <v>329.40805497905984</v>
      </c>
      <c r="AD74" s="64">
        <f t="shared" si="15"/>
        <v>22.717796895107575</v>
      </c>
      <c r="AE74" s="81">
        <f t="shared" si="22"/>
        <v>515.0931437732238</v>
      </c>
      <c r="AF74" s="82">
        <f t="shared" si="16"/>
        <v>-26.899999999999995</v>
      </c>
      <c r="AG74" s="44">
        <f t="shared" si="17"/>
        <v>116.97314377322385</v>
      </c>
      <c r="AH74" s="64">
        <f t="shared" si="18"/>
        <v>8.0671133636706109</v>
      </c>
      <c r="AI74" s="62"/>
      <c r="AK74" s="21"/>
      <c r="AL74" s="87"/>
    </row>
    <row r="75" spans="2:38" s="3" customFormat="1" x14ac:dyDescent="0.3">
      <c r="B75" s="1"/>
      <c r="C75" s="1"/>
      <c r="D75" s="1"/>
      <c r="F75" s="1"/>
      <c r="I75" s="90">
        <v>25500</v>
      </c>
      <c r="J75" s="29">
        <f t="shared" si="3"/>
        <v>15.845004784570072</v>
      </c>
      <c r="K75" s="29">
        <f t="shared" si="4"/>
        <v>633.73681136366463</v>
      </c>
      <c r="L75" s="98">
        <v>270</v>
      </c>
      <c r="M75" s="58">
        <f t="shared" si="5"/>
        <v>0.4</v>
      </c>
      <c r="N75" s="44">
        <f t="shared" si="19"/>
        <v>-26.499999999999996</v>
      </c>
      <c r="O75" s="44">
        <f t="shared" si="6"/>
        <v>241.53681136366464</v>
      </c>
      <c r="P75" s="54">
        <f t="shared" si="7"/>
        <v>16.657711128528597</v>
      </c>
      <c r="Q75" s="81">
        <f t="shared" si="20"/>
        <v>932.19965948774029</v>
      </c>
      <c r="R75" s="44">
        <f t="shared" si="9"/>
        <v>-26.499999999999996</v>
      </c>
      <c r="S75" s="65">
        <f t="shared" si="10"/>
        <v>539.99965948774025</v>
      </c>
      <c r="T75" s="44">
        <f t="shared" si="11"/>
        <v>539.99965948774025</v>
      </c>
      <c r="U75" s="64">
        <f t="shared" si="12"/>
        <v>37.241355826740708</v>
      </c>
      <c r="V75" s="65">
        <v>0</v>
      </c>
      <c r="W75" s="44">
        <f t="shared" ref="W75:W118" si="25">+($V75/1609.34)*5280/(100)*$D$39</f>
        <v>0</v>
      </c>
      <c r="X75" s="65">
        <v>0</v>
      </c>
      <c r="Y75" s="44">
        <f t="shared" ref="Y75:Y85" si="26">+W75+X75*14.8</f>
        <v>0</v>
      </c>
      <c r="Z75" s="44"/>
      <c r="AA75" s="81">
        <f t="shared" si="21"/>
        <v>742.07861607864095</v>
      </c>
      <c r="AB75" s="44">
        <f t="shared" si="13"/>
        <v>-26.499999999999996</v>
      </c>
      <c r="AC75" s="44">
        <f t="shared" si="14"/>
        <v>349.87861607864096</v>
      </c>
      <c r="AD75" s="64">
        <f t="shared" si="15"/>
        <v>24.129559729561446</v>
      </c>
      <c r="AE75" s="81">
        <f t="shared" si="22"/>
        <v>525.39500664868831</v>
      </c>
      <c r="AF75" s="82">
        <f t="shared" si="16"/>
        <v>-26.499999999999996</v>
      </c>
      <c r="AG75" s="44">
        <f t="shared" si="17"/>
        <v>133.19500664868832</v>
      </c>
      <c r="AH75" s="64">
        <f t="shared" si="18"/>
        <v>9.1858625274957468</v>
      </c>
      <c r="AI75" s="62"/>
      <c r="AK75" s="21"/>
      <c r="AL75" s="87"/>
    </row>
    <row r="76" spans="2:38" s="3" customFormat="1" x14ac:dyDescent="0.3">
      <c r="B76" s="1"/>
      <c r="C76" s="1"/>
      <c r="D76" s="1"/>
      <c r="F76" s="1"/>
      <c r="I76" s="90">
        <v>26000</v>
      </c>
      <c r="J76" s="29">
        <f t="shared" si="3"/>
        <v>16.155691152894978</v>
      </c>
      <c r="K76" s="29">
        <f t="shared" si="4"/>
        <v>646.16302335118758</v>
      </c>
      <c r="L76" s="97">
        <v>268</v>
      </c>
      <c r="M76" s="58">
        <f t="shared" si="5"/>
        <v>-0.2</v>
      </c>
      <c r="N76" s="44">
        <f t="shared" si="19"/>
        <v>-26.699999999999996</v>
      </c>
      <c r="O76" s="44">
        <f t="shared" si="6"/>
        <v>251.00302335118761</v>
      </c>
      <c r="P76" s="54">
        <f t="shared" si="7"/>
        <v>17.310553334564663</v>
      </c>
      <c r="Q76" s="81">
        <f t="shared" si="20"/>
        <v>950.4780841835784</v>
      </c>
      <c r="R76" s="44">
        <f t="shared" si="9"/>
        <v>-26.699999999999996</v>
      </c>
      <c r="S76" s="65">
        <f t="shared" si="10"/>
        <v>555.31808418357843</v>
      </c>
      <c r="T76" s="44">
        <f t="shared" si="11"/>
        <v>555.31808418357843</v>
      </c>
      <c r="U76" s="64">
        <f t="shared" si="12"/>
        <v>38.297798909212304</v>
      </c>
      <c r="V76" s="65">
        <v>100</v>
      </c>
      <c r="W76" s="44">
        <f t="shared" si="25"/>
        <v>1.2368797146656396</v>
      </c>
      <c r="X76" s="44">
        <f t="shared" ref="X76:X85" si="27">+X75+M76</f>
        <v>-0.2</v>
      </c>
      <c r="Y76" s="44">
        <f t="shared" si="26"/>
        <v>-1.7231202853343608</v>
      </c>
      <c r="Z76" s="44"/>
      <c r="AA76" s="81">
        <f t="shared" si="21"/>
        <v>756.62917717822222</v>
      </c>
      <c r="AB76" s="44">
        <f t="shared" si="13"/>
        <v>-26.699999999999996</v>
      </c>
      <c r="AC76" s="44">
        <f t="shared" si="14"/>
        <v>361.46917717822225</v>
      </c>
      <c r="AD76" s="64">
        <f t="shared" si="15"/>
        <v>24.928908770911878</v>
      </c>
      <c r="AE76" s="81">
        <f t="shared" si="22"/>
        <v>535.69686952415282</v>
      </c>
      <c r="AF76" s="82">
        <f t="shared" si="16"/>
        <v>-26.699999999999996</v>
      </c>
      <c r="AG76" s="44">
        <f t="shared" si="17"/>
        <v>140.53686952415285</v>
      </c>
      <c r="AH76" s="64">
        <f t="shared" si="18"/>
        <v>9.6921978982174384</v>
      </c>
      <c r="AI76" s="62"/>
      <c r="AK76" s="21"/>
      <c r="AL76" s="87"/>
    </row>
    <row r="77" spans="2:38" s="3" customFormat="1" x14ac:dyDescent="0.3">
      <c r="B77" s="1"/>
      <c r="C77" s="1"/>
      <c r="D77" s="1"/>
      <c r="F77" s="1"/>
      <c r="I77" s="90">
        <v>26500</v>
      </c>
      <c r="J77" s="29">
        <f t="shared" si="3"/>
        <v>16.466377521219879</v>
      </c>
      <c r="K77" s="29">
        <f t="shared" si="4"/>
        <v>658.58923533871041</v>
      </c>
      <c r="L77" s="98">
        <v>267</v>
      </c>
      <c r="M77" s="58">
        <f t="shared" si="5"/>
        <v>-0.1</v>
      </c>
      <c r="N77" s="44">
        <f t="shared" si="19"/>
        <v>-26.799999999999997</v>
      </c>
      <c r="O77" s="44">
        <f t="shared" si="6"/>
        <v>261.94923533871042</v>
      </c>
      <c r="P77" s="54">
        <f t="shared" si="7"/>
        <v>18.065464506117959</v>
      </c>
      <c r="Q77" s="81">
        <f t="shared" si="20"/>
        <v>968.7565088794164</v>
      </c>
      <c r="R77" s="44">
        <f t="shared" si="9"/>
        <v>-26.799999999999997</v>
      </c>
      <c r="S77" s="65">
        <f t="shared" si="10"/>
        <v>572.11650887941641</v>
      </c>
      <c r="T77" s="44">
        <f t="shared" si="11"/>
        <v>572.11650887941641</v>
      </c>
      <c r="U77" s="64">
        <f t="shared" si="12"/>
        <v>39.456310957201133</v>
      </c>
      <c r="V77" s="65">
        <v>200</v>
      </c>
      <c r="W77" s="44">
        <f t="shared" si="25"/>
        <v>2.4737594293312792</v>
      </c>
      <c r="X77" s="44">
        <f t="shared" si="27"/>
        <v>-0.30000000000000004</v>
      </c>
      <c r="Y77" s="44">
        <f t="shared" si="26"/>
        <v>-1.966240570668722</v>
      </c>
      <c r="Z77" s="44"/>
      <c r="AA77" s="81">
        <f t="shared" si="21"/>
        <v>771.17973827780338</v>
      </c>
      <c r="AB77" s="44">
        <f t="shared" si="13"/>
        <v>-26.799999999999997</v>
      </c>
      <c r="AC77" s="44">
        <f t="shared" si="14"/>
        <v>374.53973827780339</v>
      </c>
      <c r="AD77" s="64">
        <f t="shared" si="15"/>
        <v>25.830326777779543</v>
      </c>
      <c r="AE77" s="81">
        <f t="shared" si="22"/>
        <v>545.99873239961721</v>
      </c>
      <c r="AF77" s="82">
        <f t="shared" si="16"/>
        <v>-26.799999999999997</v>
      </c>
      <c r="AG77" s="44">
        <f t="shared" si="17"/>
        <v>149.35873239961722</v>
      </c>
      <c r="AH77" s="64">
        <f t="shared" si="18"/>
        <v>10.30060223445636</v>
      </c>
      <c r="AI77" s="62"/>
      <c r="AK77" s="21"/>
      <c r="AL77" s="87"/>
    </row>
    <row r="78" spans="2:38" s="3" customFormat="1" x14ac:dyDescent="0.3">
      <c r="B78" s="1">
        <v>57.466666666666598</v>
      </c>
      <c r="C78" s="1">
        <f t="shared" ref="C78:C95" si="28">+B78*0.156*60*24</f>
        <v>12909.311999999984</v>
      </c>
      <c r="D78" s="5">
        <v>0.55289999999999995</v>
      </c>
      <c r="E78" s="10">
        <v>1.34335714285714</v>
      </c>
      <c r="F78" s="1">
        <v>80</v>
      </c>
      <c r="G78" s="1">
        <v>12</v>
      </c>
      <c r="H78" s="1"/>
      <c r="I78" s="90">
        <v>27000</v>
      </c>
      <c r="J78" s="29">
        <f t="shared" si="3"/>
        <v>16.777063889544785</v>
      </c>
      <c r="K78" s="29">
        <f t="shared" si="4"/>
        <v>671.01544732623324</v>
      </c>
      <c r="L78" s="97">
        <v>273</v>
      </c>
      <c r="M78" s="58">
        <f t="shared" si="5"/>
        <v>0.6</v>
      </c>
      <c r="N78" s="44">
        <f t="shared" si="19"/>
        <v>-26.199999999999996</v>
      </c>
      <c r="O78" s="44">
        <f t="shared" si="6"/>
        <v>283.25544732623331</v>
      </c>
      <c r="P78" s="54">
        <f t="shared" si="7"/>
        <v>19.534858436291952</v>
      </c>
      <c r="Q78" s="81">
        <f t="shared" si="20"/>
        <v>987.03493357525451</v>
      </c>
      <c r="R78" s="44">
        <f t="shared" si="9"/>
        <v>-26.199999999999996</v>
      </c>
      <c r="S78" s="65">
        <f t="shared" si="10"/>
        <v>599.27493357525464</v>
      </c>
      <c r="T78" s="44">
        <f t="shared" si="11"/>
        <v>599.27493357525464</v>
      </c>
      <c r="U78" s="64">
        <f t="shared" si="12"/>
        <v>41.329305763810666</v>
      </c>
      <c r="V78" s="65">
        <v>300</v>
      </c>
      <c r="W78" s="44">
        <f t="shared" si="25"/>
        <v>3.710639143996918</v>
      </c>
      <c r="X78" s="44">
        <f t="shared" si="27"/>
        <v>0.29999999999999993</v>
      </c>
      <c r="Y78" s="44">
        <f t="shared" si="26"/>
        <v>8.1506391439969175</v>
      </c>
      <c r="Z78" s="44"/>
      <c r="AA78" s="81">
        <f t="shared" si="21"/>
        <v>785.73029937738465</v>
      </c>
      <c r="AB78" s="44">
        <f t="shared" si="13"/>
        <v>-26.199999999999996</v>
      </c>
      <c r="AC78" s="44">
        <f t="shared" si="14"/>
        <v>397.97029937738472</v>
      </c>
      <c r="AD78" s="64">
        <f t="shared" si="15"/>
        <v>27.446227543267913</v>
      </c>
      <c r="AE78" s="81">
        <f t="shared" si="22"/>
        <v>556.30059527508183</v>
      </c>
      <c r="AF78" s="82">
        <f t="shared" si="16"/>
        <v>-26.199999999999996</v>
      </c>
      <c r="AG78" s="44">
        <f t="shared" si="17"/>
        <v>168.5405952750819</v>
      </c>
      <c r="AH78" s="64">
        <f t="shared" si="18"/>
        <v>11.623489329315992</v>
      </c>
      <c r="AI78" s="62"/>
      <c r="AK78" s="21"/>
      <c r="AL78" s="87"/>
    </row>
    <row r="79" spans="2:38" s="3" customFormat="1" x14ac:dyDescent="0.3">
      <c r="B79" s="1">
        <v>59.786147186147097</v>
      </c>
      <c r="C79" s="1">
        <f t="shared" si="28"/>
        <v>13430.360103896084</v>
      </c>
      <c r="D79" s="5">
        <v>0.58244935064935</v>
      </c>
      <c r="E79" s="10">
        <v>1.41576623376623</v>
      </c>
      <c r="F79" s="1">
        <v>90</v>
      </c>
      <c r="G79" s="1">
        <v>14</v>
      </c>
      <c r="H79" s="1"/>
      <c r="I79" s="90">
        <v>27500</v>
      </c>
      <c r="J79" s="29">
        <f t="shared" si="3"/>
        <v>17.087750257869686</v>
      </c>
      <c r="K79" s="29">
        <f t="shared" si="4"/>
        <v>683.44165931375608</v>
      </c>
      <c r="L79" s="98">
        <v>280</v>
      </c>
      <c r="M79" s="58">
        <f t="shared" si="5"/>
        <v>0.7</v>
      </c>
      <c r="N79" s="44">
        <f t="shared" si="19"/>
        <v>-25.499999999999996</v>
      </c>
      <c r="O79" s="44">
        <f t="shared" si="6"/>
        <v>306.0416593137561</v>
      </c>
      <c r="P79" s="54">
        <f t="shared" si="7"/>
        <v>21.106321331983178</v>
      </c>
      <c r="Q79" s="81">
        <f t="shared" si="20"/>
        <v>1005.3133582710926</v>
      </c>
      <c r="R79" s="44">
        <f t="shared" si="9"/>
        <v>-25.499999999999996</v>
      </c>
      <c r="S79" s="65">
        <f t="shared" si="10"/>
        <v>627.91335827109265</v>
      </c>
      <c r="T79" s="44">
        <f t="shared" si="11"/>
        <v>627.91335827109265</v>
      </c>
      <c r="U79" s="64">
        <f t="shared" si="12"/>
        <v>43.304369535937425</v>
      </c>
      <c r="V79" s="65">
        <v>400</v>
      </c>
      <c r="W79" s="44">
        <f t="shared" si="25"/>
        <v>4.9475188586625585</v>
      </c>
      <c r="X79" s="44">
        <f t="shared" si="27"/>
        <v>0.99999999999999989</v>
      </c>
      <c r="Y79" s="44">
        <f t="shared" si="26"/>
        <v>19.747518858662559</v>
      </c>
      <c r="Z79" s="44"/>
      <c r="AA79" s="81">
        <f t="shared" si="21"/>
        <v>800.28086047696581</v>
      </c>
      <c r="AB79" s="44">
        <f t="shared" si="13"/>
        <v>-25.499999999999996</v>
      </c>
      <c r="AC79" s="44">
        <f t="shared" si="14"/>
        <v>422.88086047696584</v>
      </c>
      <c r="AD79" s="64">
        <f t="shared" si="15"/>
        <v>29.164197274273505</v>
      </c>
      <c r="AE79" s="81">
        <f t="shared" si="22"/>
        <v>566.60245815054623</v>
      </c>
      <c r="AF79" s="82">
        <f t="shared" si="16"/>
        <v>-25.499999999999996</v>
      </c>
      <c r="AG79" s="44">
        <f t="shared" si="17"/>
        <v>189.20245815054625</v>
      </c>
      <c r="AH79" s="64">
        <f t="shared" si="18"/>
        <v>13.048445389692844</v>
      </c>
      <c r="AI79" s="62"/>
      <c r="AK79" s="21"/>
      <c r="AL79" s="87"/>
    </row>
    <row r="80" spans="2:38" s="3" customFormat="1" x14ac:dyDescent="0.3">
      <c r="B80" s="1">
        <v>62.105627705627803</v>
      </c>
      <c r="C80" s="1">
        <f t="shared" si="28"/>
        <v>13951.408207792228</v>
      </c>
      <c r="D80" s="5">
        <v>0.61199870129870104</v>
      </c>
      <c r="E80" s="10">
        <v>1.48817532467532</v>
      </c>
      <c r="F80" s="1"/>
      <c r="I80" s="90">
        <v>28000</v>
      </c>
      <c r="J80" s="29">
        <f t="shared" si="3"/>
        <v>17.398436626194592</v>
      </c>
      <c r="K80" s="29">
        <f t="shared" si="4"/>
        <v>695.86787130127902</v>
      </c>
      <c r="L80" s="97">
        <v>288</v>
      </c>
      <c r="M80" s="58">
        <f t="shared" si="5"/>
        <v>0.8</v>
      </c>
      <c r="N80" s="44">
        <f t="shared" si="19"/>
        <v>-24.699999999999996</v>
      </c>
      <c r="O80" s="44">
        <f t="shared" si="6"/>
        <v>330.30787130127908</v>
      </c>
      <c r="P80" s="54">
        <f t="shared" si="7"/>
        <v>22.779853193191659</v>
      </c>
      <c r="Q80" s="81">
        <f t="shared" si="20"/>
        <v>1023.5917829669307</v>
      </c>
      <c r="R80" s="44">
        <f t="shared" si="9"/>
        <v>-24.699999999999996</v>
      </c>
      <c r="S80" s="65">
        <f t="shared" si="10"/>
        <v>658.03178296693079</v>
      </c>
      <c r="T80" s="44">
        <f t="shared" si="11"/>
        <v>658.03178296693079</v>
      </c>
      <c r="U80" s="64">
        <f t="shared" si="12"/>
        <v>45.381502273581432</v>
      </c>
      <c r="V80" s="65">
        <v>500</v>
      </c>
      <c r="W80" s="44">
        <f t="shared" si="25"/>
        <v>6.1843985733281972</v>
      </c>
      <c r="X80" s="44">
        <f t="shared" si="27"/>
        <v>1.7999999999999998</v>
      </c>
      <c r="Y80" s="44">
        <f t="shared" si="26"/>
        <v>32.824398573328196</v>
      </c>
      <c r="Z80" s="44"/>
      <c r="AA80" s="81">
        <f t="shared" si="21"/>
        <v>814.83142157654709</v>
      </c>
      <c r="AB80" s="44">
        <f t="shared" si="13"/>
        <v>-24.699999999999996</v>
      </c>
      <c r="AC80" s="44">
        <f t="shared" si="14"/>
        <v>449.27142157654714</v>
      </c>
      <c r="AD80" s="64">
        <f t="shared" si="15"/>
        <v>30.984235970796355</v>
      </c>
      <c r="AE80" s="81">
        <f t="shared" si="22"/>
        <v>576.90432102601073</v>
      </c>
      <c r="AF80" s="82">
        <f t="shared" si="16"/>
        <v>-24.699999999999996</v>
      </c>
      <c r="AG80" s="44">
        <f t="shared" si="17"/>
        <v>211.34432102601079</v>
      </c>
      <c r="AH80" s="64">
        <f t="shared" si="18"/>
        <v>14.575470415586951</v>
      </c>
      <c r="AI80" s="62"/>
      <c r="AK80" s="21"/>
      <c r="AL80" s="87"/>
    </row>
    <row r="81" spans="2:38" s="3" customFormat="1" x14ac:dyDescent="0.3">
      <c r="B81" s="1">
        <v>64.425108225108303</v>
      </c>
      <c r="C81" s="1">
        <f t="shared" si="28"/>
        <v>14472.456311688329</v>
      </c>
      <c r="D81" s="5">
        <v>0.64154805194805098</v>
      </c>
      <c r="E81" s="10">
        <v>1.56058441558441</v>
      </c>
      <c r="F81" s="1"/>
      <c r="I81" s="90">
        <v>28500</v>
      </c>
      <c r="J81" s="29">
        <f t="shared" si="3"/>
        <v>17.709122994519493</v>
      </c>
      <c r="K81" s="29">
        <f t="shared" si="4"/>
        <v>708.29408328880163</v>
      </c>
      <c r="L81" s="98">
        <v>288</v>
      </c>
      <c r="M81" s="58">
        <f t="shared" si="5"/>
        <v>0</v>
      </c>
      <c r="N81" s="44">
        <f t="shared" si="19"/>
        <v>-24.699999999999996</v>
      </c>
      <c r="O81" s="44">
        <f t="shared" si="6"/>
        <v>342.73408328880168</v>
      </c>
      <c r="P81" s="54">
        <f t="shared" si="7"/>
        <v>23.636833330262185</v>
      </c>
      <c r="Q81" s="81">
        <f t="shared" si="20"/>
        <v>1041.8702076627685</v>
      </c>
      <c r="R81" s="44">
        <f t="shared" si="9"/>
        <v>-24.699999999999996</v>
      </c>
      <c r="S81" s="65">
        <f t="shared" si="10"/>
        <v>676.31020766276856</v>
      </c>
      <c r="T81" s="44">
        <f t="shared" si="11"/>
        <v>676.31020766276856</v>
      </c>
      <c r="U81" s="64">
        <f t="shared" si="12"/>
        <v>46.642083287087488</v>
      </c>
      <c r="V81" s="65">
        <v>600</v>
      </c>
      <c r="W81" s="44">
        <f t="shared" si="25"/>
        <v>7.4212782879938359</v>
      </c>
      <c r="X81" s="44">
        <f t="shared" si="27"/>
        <v>1.7999999999999998</v>
      </c>
      <c r="Y81" s="44">
        <f t="shared" si="26"/>
        <v>34.061278287993829</v>
      </c>
      <c r="Z81" s="44"/>
      <c r="AA81" s="81">
        <f t="shared" si="21"/>
        <v>829.38198267612802</v>
      </c>
      <c r="AB81" s="44">
        <f t="shared" si="13"/>
        <v>-24.699999999999996</v>
      </c>
      <c r="AC81" s="44">
        <f t="shared" si="14"/>
        <v>463.82198267612807</v>
      </c>
      <c r="AD81" s="64">
        <f t="shared" si="15"/>
        <v>31.987722943181247</v>
      </c>
      <c r="AE81" s="81">
        <f t="shared" si="22"/>
        <v>587.20618390147513</v>
      </c>
      <c r="AF81" s="82">
        <f t="shared" si="16"/>
        <v>-24.699999999999996</v>
      </c>
      <c r="AG81" s="44">
        <f t="shared" si="17"/>
        <v>221.64618390147518</v>
      </c>
      <c r="AH81" s="64">
        <f t="shared" si="18"/>
        <v>15.285943717343116</v>
      </c>
      <c r="AI81" s="62"/>
      <c r="AK81" s="21"/>
      <c r="AL81" s="87"/>
    </row>
    <row r="82" spans="2:38" s="3" customFormat="1" x14ac:dyDescent="0.3">
      <c r="B82" s="1">
        <v>66.744588744588796</v>
      </c>
      <c r="C82" s="1">
        <f t="shared" si="28"/>
        <v>14993.50441558443</v>
      </c>
      <c r="D82" s="5">
        <v>0.67109740259740203</v>
      </c>
      <c r="E82" s="10">
        <v>1.6329935064934999</v>
      </c>
      <c r="F82" s="1"/>
      <c r="I82" s="90">
        <v>29000</v>
      </c>
      <c r="J82" s="29">
        <f t="shared" si="3"/>
        <v>18.019809362844398</v>
      </c>
      <c r="K82" s="29">
        <f t="shared" si="4"/>
        <v>720.72029527632458</v>
      </c>
      <c r="L82" s="97">
        <v>288</v>
      </c>
      <c r="M82" s="58">
        <f t="shared" si="5"/>
        <v>0</v>
      </c>
      <c r="N82" s="44">
        <f t="shared" si="19"/>
        <v>-24.699999999999996</v>
      </c>
      <c r="O82" s="44">
        <f t="shared" si="6"/>
        <v>355.16029527632463</v>
      </c>
      <c r="P82" s="54">
        <f t="shared" si="7"/>
        <v>24.493813467332732</v>
      </c>
      <c r="Q82" s="81">
        <f t="shared" si="20"/>
        <v>1060.1486323586066</v>
      </c>
      <c r="R82" s="44">
        <f t="shared" si="9"/>
        <v>-24.699999999999996</v>
      </c>
      <c r="S82" s="65">
        <f t="shared" si="10"/>
        <v>694.58863235860667</v>
      </c>
      <c r="T82" s="44">
        <f t="shared" si="11"/>
        <v>694.58863235860667</v>
      </c>
      <c r="U82" s="64">
        <f t="shared" si="12"/>
        <v>47.902664300593564</v>
      </c>
      <c r="V82" s="65">
        <v>700</v>
      </c>
      <c r="W82" s="44">
        <f t="shared" si="25"/>
        <v>8.6581580026594764</v>
      </c>
      <c r="X82" s="44">
        <f t="shared" si="27"/>
        <v>1.7999999999999998</v>
      </c>
      <c r="Y82" s="44">
        <f t="shared" si="26"/>
        <v>35.298158002659477</v>
      </c>
      <c r="Z82" s="44"/>
      <c r="AA82" s="81">
        <f t="shared" si="21"/>
        <v>843.93254377570941</v>
      </c>
      <c r="AB82" s="44">
        <f t="shared" si="13"/>
        <v>-24.699999999999996</v>
      </c>
      <c r="AC82" s="44">
        <f t="shared" si="14"/>
        <v>478.37254377570946</v>
      </c>
      <c r="AD82" s="64">
        <f t="shared" si="15"/>
        <v>32.991209915566166</v>
      </c>
      <c r="AE82" s="81">
        <f t="shared" si="22"/>
        <v>597.50804677693964</v>
      </c>
      <c r="AF82" s="82">
        <f t="shared" si="16"/>
        <v>-24.699999999999996</v>
      </c>
      <c r="AG82" s="44">
        <f t="shared" si="17"/>
        <v>231.94804677693969</v>
      </c>
      <c r="AH82" s="64">
        <f t="shared" si="18"/>
        <v>15.996417019099288</v>
      </c>
      <c r="AI82" s="62"/>
      <c r="AK82" s="21"/>
      <c r="AL82" s="87"/>
    </row>
    <row r="83" spans="2:38" s="3" customFormat="1" x14ac:dyDescent="0.3">
      <c r="B83" s="1">
        <v>69.064069264069303</v>
      </c>
      <c r="C83" s="1">
        <f t="shared" si="28"/>
        <v>15514.552519480527</v>
      </c>
      <c r="D83" s="5">
        <v>0.70064675324675296</v>
      </c>
      <c r="E83" s="10">
        <v>1.7054025974025899</v>
      </c>
      <c r="F83" s="1"/>
      <c r="I83" s="90">
        <v>29500</v>
      </c>
      <c r="J83" s="29">
        <f t="shared" si="3"/>
        <v>18.3304957311693</v>
      </c>
      <c r="K83" s="29">
        <f t="shared" si="4"/>
        <v>733.1465072638473</v>
      </c>
      <c r="L83" s="98">
        <v>296</v>
      </c>
      <c r="M83" s="58">
        <f t="shared" si="5"/>
        <v>0.8</v>
      </c>
      <c r="N83" s="44">
        <f t="shared" si="19"/>
        <v>-23.899999999999995</v>
      </c>
      <c r="O83" s="44">
        <f t="shared" si="6"/>
        <v>379.42650726384733</v>
      </c>
      <c r="P83" s="54">
        <f t="shared" si="7"/>
        <v>26.167345328541195</v>
      </c>
      <c r="Q83" s="81">
        <f t="shared" si="20"/>
        <v>1078.4270570544445</v>
      </c>
      <c r="R83" s="44">
        <f t="shared" si="9"/>
        <v>-23.899999999999995</v>
      </c>
      <c r="S83" s="65">
        <f t="shared" si="10"/>
        <v>724.70705705444448</v>
      </c>
      <c r="T83" s="44">
        <f t="shared" si="11"/>
        <v>724.70705705444448</v>
      </c>
      <c r="U83" s="64">
        <f t="shared" si="12"/>
        <v>49.97979703823755</v>
      </c>
      <c r="V83" s="65">
        <v>800</v>
      </c>
      <c r="W83" s="44">
        <f t="shared" si="25"/>
        <v>9.8950377173251169</v>
      </c>
      <c r="X83" s="44">
        <f t="shared" si="27"/>
        <v>2.5999999999999996</v>
      </c>
      <c r="Y83" s="44">
        <f t="shared" si="26"/>
        <v>48.375037717325114</v>
      </c>
      <c r="Z83" s="44"/>
      <c r="AA83" s="81">
        <f t="shared" si="21"/>
        <v>858.48310487529045</v>
      </c>
      <c r="AB83" s="44">
        <f t="shared" si="13"/>
        <v>-23.899999999999995</v>
      </c>
      <c r="AC83" s="44">
        <f t="shared" si="14"/>
        <v>504.76310487529048</v>
      </c>
      <c r="AD83" s="64">
        <f t="shared" si="15"/>
        <v>34.811248612088995</v>
      </c>
      <c r="AE83" s="81">
        <f t="shared" si="22"/>
        <v>607.80990965240403</v>
      </c>
      <c r="AF83" s="82">
        <f t="shared" si="16"/>
        <v>-23.899999999999995</v>
      </c>
      <c r="AG83" s="44">
        <f t="shared" si="17"/>
        <v>254.08990965240406</v>
      </c>
      <c r="AH83" s="64">
        <f t="shared" si="18"/>
        <v>17.523442044993384</v>
      </c>
      <c r="AI83" s="62"/>
      <c r="AK83" s="21"/>
      <c r="AL83" s="87"/>
    </row>
    <row r="84" spans="2:38" s="3" customFormat="1" x14ac:dyDescent="0.3">
      <c r="B84" s="1">
        <v>71.383549783549796</v>
      </c>
      <c r="C84" s="1">
        <f t="shared" si="28"/>
        <v>16035.600623376627</v>
      </c>
      <c r="D84" s="5">
        <v>0.73019610389610301</v>
      </c>
      <c r="E84" s="10">
        <v>1.7778116883116799</v>
      </c>
      <c r="F84" s="1"/>
      <c r="I84" s="90">
        <v>30000</v>
      </c>
      <c r="J84" s="29">
        <f t="shared" si="3"/>
        <v>18.641182099494202</v>
      </c>
      <c r="K84" s="29">
        <f t="shared" si="4"/>
        <v>745.57271925137013</v>
      </c>
      <c r="L84" s="97">
        <v>299</v>
      </c>
      <c r="M84" s="58">
        <f t="shared" si="5"/>
        <v>0.3</v>
      </c>
      <c r="N84" s="44">
        <f t="shared" si="19"/>
        <v>-23.599999999999994</v>
      </c>
      <c r="O84" s="44">
        <f t="shared" si="6"/>
        <v>396.29271925137022</v>
      </c>
      <c r="P84" s="54">
        <f t="shared" si="7"/>
        <v>27.330532362163463</v>
      </c>
      <c r="Q84" s="81">
        <f t="shared" si="20"/>
        <v>1096.7054817502826</v>
      </c>
      <c r="R84" s="44">
        <f t="shared" si="9"/>
        <v>-23.599999999999994</v>
      </c>
      <c r="S84" s="65">
        <f t="shared" si="10"/>
        <v>747.42548175028264</v>
      </c>
      <c r="T84" s="44">
        <f t="shared" si="11"/>
        <v>747.42548175028264</v>
      </c>
      <c r="U84" s="64">
        <f t="shared" si="12"/>
        <v>51.546584948295354</v>
      </c>
      <c r="V84" s="65">
        <v>900</v>
      </c>
      <c r="W84" s="44">
        <f t="shared" si="25"/>
        <v>11.131917431990754</v>
      </c>
      <c r="X84" s="44">
        <f t="shared" si="27"/>
        <v>2.8999999999999995</v>
      </c>
      <c r="Y84" s="44">
        <f t="shared" si="26"/>
        <v>54.051917431990745</v>
      </c>
      <c r="Z84" s="44"/>
      <c r="AA84" s="81">
        <f t="shared" si="21"/>
        <v>873.03366597487161</v>
      </c>
      <c r="AB84" s="44">
        <f t="shared" si="13"/>
        <v>-23.599999999999994</v>
      </c>
      <c r="AC84" s="44">
        <f t="shared" si="14"/>
        <v>523.75366597487164</v>
      </c>
      <c r="AD84" s="64">
        <f t="shared" si="15"/>
        <v>36.120942481025629</v>
      </c>
      <c r="AE84" s="81">
        <f t="shared" si="22"/>
        <v>618.11177252786854</v>
      </c>
      <c r="AF84" s="82">
        <f t="shared" si="16"/>
        <v>-23.599999999999994</v>
      </c>
      <c r="AG84" s="44">
        <f t="shared" si="17"/>
        <v>268.83177252786862</v>
      </c>
      <c r="AH84" s="64">
        <f t="shared" si="18"/>
        <v>18.540122243301283</v>
      </c>
      <c r="AI84" s="62"/>
      <c r="AK84" s="21"/>
      <c r="AL84" s="87"/>
    </row>
    <row r="85" spans="2:38" s="3" customFormat="1" x14ac:dyDescent="0.3">
      <c r="B85" s="1">
        <v>73.703030303030303</v>
      </c>
      <c r="C85" s="1">
        <f t="shared" si="28"/>
        <v>16556.648727272728</v>
      </c>
      <c r="D85" s="5">
        <v>0.75974545454545395</v>
      </c>
      <c r="E85" s="10">
        <v>1.8502207792207801</v>
      </c>
      <c r="F85" s="1"/>
      <c r="I85" s="90">
        <v>30500</v>
      </c>
      <c r="J85" s="29">
        <f t="shared" si="3"/>
        <v>18.951868467819107</v>
      </c>
      <c r="K85" s="29">
        <f t="shared" si="4"/>
        <v>757.99893123889308</v>
      </c>
      <c r="L85" s="98">
        <v>304</v>
      </c>
      <c r="M85" s="58">
        <f t="shared" si="5"/>
        <v>0.5</v>
      </c>
      <c r="N85" s="44">
        <f t="shared" si="19"/>
        <v>-23.099999999999994</v>
      </c>
      <c r="O85" s="44">
        <f t="shared" si="6"/>
        <v>416.11893123889314</v>
      </c>
      <c r="P85" s="54">
        <f t="shared" si="7"/>
        <v>28.697857326820216</v>
      </c>
      <c r="Q85" s="81">
        <f t="shared" si="20"/>
        <v>1114.9839064461207</v>
      </c>
      <c r="R85" s="44">
        <f t="shared" si="9"/>
        <v>-23.099999999999994</v>
      </c>
      <c r="S85" s="65">
        <f t="shared" si="10"/>
        <v>773.10390644612085</v>
      </c>
      <c r="T85" s="44">
        <f t="shared" si="11"/>
        <v>773.10390644612085</v>
      </c>
      <c r="U85" s="64">
        <f t="shared" si="12"/>
        <v>53.317510789387647</v>
      </c>
      <c r="V85" s="65">
        <v>1000</v>
      </c>
      <c r="W85" s="44">
        <f t="shared" si="25"/>
        <v>12.368797146656394</v>
      </c>
      <c r="X85" s="44">
        <f t="shared" si="27"/>
        <v>3.3999999999999995</v>
      </c>
      <c r="Y85" s="44">
        <f t="shared" si="26"/>
        <v>62.688797146656384</v>
      </c>
      <c r="Z85" s="44"/>
      <c r="AA85" s="81">
        <f t="shared" si="21"/>
        <v>887.58422707445288</v>
      </c>
      <c r="AB85" s="44">
        <f t="shared" si="13"/>
        <v>-23.099999999999994</v>
      </c>
      <c r="AC85" s="44">
        <f t="shared" si="14"/>
        <v>545.704227074453</v>
      </c>
      <c r="AD85" s="64">
        <f t="shared" si="15"/>
        <v>37.634774280996758</v>
      </c>
      <c r="AE85" s="81">
        <f t="shared" si="22"/>
        <v>628.41363540333305</v>
      </c>
      <c r="AF85" s="82">
        <f t="shared" si="16"/>
        <v>-23.099999999999994</v>
      </c>
      <c r="AG85" s="44">
        <f t="shared" si="17"/>
        <v>286.53363540333311</v>
      </c>
      <c r="AH85" s="64">
        <f t="shared" si="18"/>
        <v>19.760940372643663</v>
      </c>
      <c r="AI85" s="62"/>
      <c r="AK85" s="21"/>
      <c r="AL85" s="87"/>
    </row>
    <row r="86" spans="2:38" s="3" customFormat="1" x14ac:dyDescent="0.3">
      <c r="B86" s="1">
        <v>76.022510822510895</v>
      </c>
      <c r="C86" s="1">
        <f t="shared" si="28"/>
        <v>17077.696831168847</v>
      </c>
      <c r="D86" s="5">
        <v>0.78929480519480499</v>
      </c>
      <c r="E86" s="10">
        <v>1.9226298701298701</v>
      </c>
      <c r="F86" s="1"/>
      <c r="I86" s="90">
        <v>31000</v>
      </c>
      <c r="J86" s="29">
        <f t="shared" si="3"/>
        <v>19.262554836144009</v>
      </c>
      <c r="K86" s="29">
        <f t="shared" si="4"/>
        <v>770.4251432264158</v>
      </c>
      <c r="L86" s="97">
        <v>310</v>
      </c>
      <c r="M86" s="58">
        <f t="shared" si="5"/>
        <v>0.6</v>
      </c>
      <c r="N86" s="44">
        <f t="shared" si="19"/>
        <v>-22.499999999999993</v>
      </c>
      <c r="O86" s="44">
        <f t="shared" si="6"/>
        <v>437.42514322641591</v>
      </c>
      <c r="P86" s="54">
        <f t="shared" si="7"/>
        <v>30.167251256994202</v>
      </c>
      <c r="Q86" s="81">
        <f t="shared" si="20"/>
        <v>1133.2623311419588</v>
      </c>
      <c r="R86" s="44">
        <f t="shared" si="9"/>
        <v>-22.499999999999993</v>
      </c>
      <c r="S86" s="65"/>
      <c r="T86" s="44">
        <f t="shared" si="11"/>
        <v>800.26233114195895</v>
      </c>
      <c r="U86" s="64">
        <f t="shared" si="12"/>
        <v>55.190505595997166</v>
      </c>
      <c r="V86" s="65">
        <v>1100</v>
      </c>
      <c r="W86" s="44">
        <f t="shared" si="25"/>
        <v>13.605676861322033</v>
      </c>
      <c r="X86" s="44">
        <f>+X85+M86</f>
        <v>3.9999999999999996</v>
      </c>
      <c r="Y86" s="44">
        <f>+W86+X86*14.8</f>
        <v>72.805676861322027</v>
      </c>
      <c r="Z86" s="44"/>
      <c r="AA86" s="81">
        <f t="shared" si="21"/>
        <v>902.13478817403404</v>
      </c>
      <c r="AB86" s="44">
        <f t="shared" si="13"/>
        <v>-22.499999999999993</v>
      </c>
      <c r="AC86" s="44">
        <f t="shared" si="14"/>
        <v>569.13478817403416</v>
      </c>
      <c r="AD86" s="64">
        <f t="shared" si="15"/>
        <v>39.250675046485114</v>
      </c>
      <c r="AE86" s="81">
        <f t="shared" si="22"/>
        <v>638.71549827879755</v>
      </c>
      <c r="AF86" s="82">
        <f t="shared" si="16"/>
        <v>-22.499999999999993</v>
      </c>
      <c r="AG86" s="44">
        <f t="shared" si="17"/>
        <v>305.71549827879767</v>
      </c>
      <c r="AH86" s="64">
        <f t="shared" si="18"/>
        <v>21.083827467503287</v>
      </c>
      <c r="AI86" s="72"/>
      <c r="AK86" s="21"/>
      <c r="AL86" s="87"/>
    </row>
    <row r="87" spans="2:38" s="3" customFormat="1" x14ac:dyDescent="0.3">
      <c r="B87" s="1">
        <v>78.341991341991303</v>
      </c>
      <c r="C87" s="1">
        <f t="shared" si="28"/>
        <v>17598.744935064926</v>
      </c>
      <c r="D87" s="5">
        <v>0.81884415584415504</v>
      </c>
      <c r="E87" s="10">
        <v>1.9950389610389601</v>
      </c>
      <c r="F87" s="1"/>
      <c r="I87" s="90">
        <v>31500</v>
      </c>
      <c r="J87" s="29">
        <f t="shared" si="3"/>
        <v>19.573241204468914</v>
      </c>
      <c r="K87" s="29">
        <f t="shared" si="4"/>
        <v>782.85135521393886</v>
      </c>
      <c r="L87" s="98">
        <v>311</v>
      </c>
      <c r="M87" s="58">
        <f t="shared" si="5"/>
        <v>0.1</v>
      </c>
      <c r="N87" s="44">
        <f t="shared" si="19"/>
        <v>-22.399999999999991</v>
      </c>
      <c r="O87" s="44">
        <f t="shared" si="6"/>
        <v>451.33135521393899</v>
      </c>
      <c r="P87" s="54">
        <f t="shared" si="7"/>
        <v>31.126300359582</v>
      </c>
      <c r="Q87" s="81">
        <f t="shared" si="20"/>
        <v>1151.540755837797</v>
      </c>
      <c r="R87" s="44">
        <f t="shared" si="9"/>
        <v>-22.399999999999991</v>
      </c>
      <c r="S87" s="65"/>
      <c r="T87" s="44">
        <f t="shared" si="11"/>
        <v>820.02075583779708</v>
      </c>
      <c r="U87" s="64">
        <f t="shared" si="12"/>
        <v>56.55315557502049</v>
      </c>
      <c r="V87" s="65">
        <v>1200</v>
      </c>
      <c r="W87" s="44">
        <f t="shared" si="25"/>
        <v>14.842556575987672</v>
      </c>
      <c r="X87" s="44">
        <f t="shared" ref="X87:X118" si="29">+X86+M87</f>
        <v>4.0999999999999996</v>
      </c>
      <c r="Y87" s="44">
        <f t="shared" ref="Y87:Y118" si="30">+W87+X87*14.8</f>
        <v>75.522556575987664</v>
      </c>
      <c r="Z87" s="44"/>
      <c r="AA87" s="81">
        <f t="shared" si="21"/>
        <v>916.68534927361543</v>
      </c>
      <c r="AB87" s="44">
        <f t="shared" si="13"/>
        <v>-22.399999999999991</v>
      </c>
      <c r="AC87" s="44">
        <f t="shared" si="14"/>
        <v>585.16534927361556</v>
      </c>
      <c r="AD87" s="64">
        <f t="shared" si="15"/>
        <v>40.356230984387281</v>
      </c>
      <c r="AE87" s="81">
        <f t="shared" si="22"/>
        <v>649.01736115426206</v>
      </c>
      <c r="AF87" s="82">
        <f t="shared" si="16"/>
        <v>-22.399999999999991</v>
      </c>
      <c r="AG87" s="44">
        <f t="shared" si="17"/>
        <v>317.49736115426219</v>
      </c>
      <c r="AH87" s="64">
        <f t="shared" si="18"/>
        <v>21.896369734776702</v>
      </c>
      <c r="AI87" s="62"/>
      <c r="AK87" s="21"/>
      <c r="AL87" s="87"/>
    </row>
    <row r="88" spans="2:38" s="3" customFormat="1" x14ac:dyDescent="0.3">
      <c r="B88" s="1">
        <v>80.661471861471895</v>
      </c>
      <c r="C88" s="1">
        <f t="shared" si="28"/>
        <v>18119.793038961048</v>
      </c>
      <c r="D88" s="5">
        <v>0.84839350649350598</v>
      </c>
      <c r="E88" s="10">
        <v>2.06744805194805</v>
      </c>
      <c r="F88" s="1"/>
      <c r="I88" s="100">
        <v>32000</v>
      </c>
      <c r="J88" s="101">
        <f t="shared" si="3"/>
        <v>19.883927572793816</v>
      </c>
      <c r="K88" s="29">
        <f t="shared" si="4"/>
        <v>795.27756720146158</v>
      </c>
      <c r="L88" s="102">
        <v>318</v>
      </c>
      <c r="M88" s="59">
        <f t="shared" si="5"/>
        <v>0.7</v>
      </c>
      <c r="N88" s="59">
        <f t="shared" si="19"/>
        <v>-21.699999999999992</v>
      </c>
      <c r="O88" s="59">
        <f t="shared" si="6"/>
        <v>474.11756720146167</v>
      </c>
      <c r="P88" s="99">
        <f t="shared" si="7"/>
        <v>32.697763255273216</v>
      </c>
      <c r="Q88" s="103">
        <f t="shared" si="20"/>
        <v>1169.8191805336348</v>
      </c>
      <c r="R88" s="59">
        <f t="shared" si="9"/>
        <v>-21.699999999999992</v>
      </c>
      <c r="S88" s="59"/>
      <c r="T88" s="59">
        <f t="shared" si="11"/>
        <v>848.65918053363498</v>
      </c>
      <c r="U88" s="63">
        <f t="shared" si="12"/>
        <v>58.528219347147243</v>
      </c>
      <c r="V88" s="59">
        <v>1300</v>
      </c>
      <c r="W88" s="59">
        <f t="shared" si="25"/>
        <v>16.079436290653309</v>
      </c>
      <c r="X88" s="59">
        <f t="shared" si="29"/>
        <v>4.8</v>
      </c>
      <c r="Y88" s="59">
        <f t="shared" si="30"/>
        <v>87.119436290653312</v>
      </c>
      <c r="Z88" s="59"/>
      <c r="AA88" s="103">
        <f t="shared" si="21"/>
        <v>931.23591037319648</v>
      </c>
      <c r="AB88" s="59">
        <f t="shared" si="13"/>
        <v>-21.699999999999992</v>
      </c>
      <c r="AC88" s="59">
        <f t="shared" si="14"/>
        <v>610.07591037319662</v>
      </c>
      <c r="AD88" s="63">
        <f t="shared" si="15"/>
        <v>42.07420071539287</v>
      </c>
      <c r="AE88" s="103">
        <f t="shared" si="22"/>
        <v>659.31922402972646</v>
      </c>
      <c r="AF88" s="104">
        <f t="shared" si="16"/>
        <v>-21.699999999999992</v>
      </c>
      <c r="AG88" s="59">
        <f t="shared" si="17"/>
        <v>338.15922402972654</v>
      </c>
      <c r="AH88" s="63">
        <f t="shared" si="18"/>
        <v>23.321325795153555</v>
      </c>
      <c r="AI88" s="105"/>
      <c r="AJ88" s="106"/>
      <c r="AK88" s="107"/>
      <c r="AL88" s="108" t="s">
        <v>63</v>
      </c>
    </row>
    <row r="89" spans="2:38" s="3" customFormat="1" x14ac:dyDescent="0.3">
      <c r="B89" s="1">
        <v>82.980952380952303</v>
      </c>
      <c r="C89" s="1">
        <f t="shared" si="28"/>
        <v>18640.841142857123</v>
      </c>
      <c r="D89" s="5">
        <v>0.87794285714285702</v>
      </c>
      <c r="E89" s="10">
        <v>2.13985714285714</v>
      </c>
      <c r="F89" s="1"/>
      <c r="I89" s="90">
        <v>32500</v>
      </c>
      <c r="J89" s="29">
        <f t="shared" ref="J89:J118" si="31">+I89/1609.34</f>
        <v>20.194613941118721</v>
      </c>
      <c r="K89" s="29">
        <f t="shared" ref="K89:K118" si="32">+($I89/1609.34)*5280/(100)*$H$45</f>
        <v>807.70377918898441</v>
      </c>
      <c r="L89" s="98">
        <v>325</v>
      </c>
      <c r="M89" s="58">
        <f t="shared" ref="M89:M118" si="33">-(L88-L89)/10</f>
        <v>0.7</v>
      </c>
      <c r="N89" s="44">
        <f t="shared" si="19"/>
        <v>-20.999999999999993</v>
      </c>
      <c r="O89" s="44">
        <f t="shared" ref="O89:O118" si="34">+K89+N89*14.8</f>
        <v>496.90377918898452</v>
      </c>
      <c r="P89" s="54">
        <f t="shared" ref="P89:P118" si="35">+O89/14.5</f>
        <v>34.26922615096445</v>
      </c>
      <c r="Q89" s="81">
        <f t="shared" si="20"/>
        <v>1188.0976052294729</v>
      </c>
      <c r="R89" s="44">
        <f t="shared" ref="R89:R118" si="36">+N89</f>
        <v>-20.999999999999993</v>
      </c>
      <c r="S89" s="65"/>
      <c r="T89" s="44">
        <f t="shared" ref="T89:T118" si="37">+Q89+R89*14.8</f>
        <v>877.29760522947299</v>
      </c>
      <c r="U89" s="64">
        <f t="shared" si="12"/>
        <v>60.503283119274002</v>
      </c>
      <c r="V89" s="65">
        <v>1400</v>
      </c>
      <c r="W89" s="44">
        <f t="shared" si="25"/>
        <v>17.316316005318953</v>
      </c>
      <c r="X89" s="44">
        <f t="shared" si="29"/>
        <v>5.5</v>
      </c>
      <c r="Y89" s="44">
        <f t="shared" si="30"/>
        <v>98.716316005318959</v>
      </c>
      <c r="Z89" s="44"/>
      <c r="AA89" s="83">
        <f t="shared" si="21"/>
        <v>945.78647147277775</v>
      </c>
      <c r="AB89" s="44">
        <f t="shared" ref="AB89:AB118" si="38">+N89</f>
        <v>-20.999999999999993</v>
      </c>
      <c r="AC89" s="44">
        <f t="shared" ref="AC89:AC118" si="39">+AA89+AB89*14.8</f>
        <v>634.98647147277779</v>
      </c>
      <c r="AD89" s="64">
        <f t="shared" ref="AD89:AD118" si="40">+AC89/14.5</f>
        <v>43.792170446398465</v>
      </c>
      <c r="AE89" s="81">
        <f t="shared" si="22"/>
        <v>669.62108690519108</v>
      </c>
      <c r="AF89" s="82">
        <f t="shared" ref="AF89:AF118" si="41">+N89</f>
        <v>-20.999999999999993</v>
      </c>
      <c r="AG89" s="44">
        <f t="shared" ref="AG89:AG118" si="42">+AE89+AF89*14.8</f>
        <v>358.82108690519118</v>
      </c>
      <c r="AH89" s="64">
        <f t="shared" si="18"/>
        <v>24.746281855530427</v>
      </c>
      <c r="AI89" s="62"/>
      <c r="AK89" s="21"/>
      <c r="AL89" s="87"/>
    </row>
    <row r="90" spans="2:38" s="3" customFormat="1" x14ac:dyDescent="0.3">
      <c r="B90" s="1">
        <v>85.300432900432995</v>
      </c>
      <c r="C90" s="1">
        <f t="shared" si="28"/>
        <v>19161.889246753268</v>
      </c>
      <c r="D90" s="5">
        <v>0.90749220779220696</v>
      </c>
      <c r="E90" s="10">
        <v>2.21226623376623</v>
      </c>
      <c r="F90" s="1"/>
      <c r="I90" s="90">
        <v>33000</v>
      </c>
      <c r="J90" s="29">
        <f t="shared" si="31"/>
        <v>20.505300309443623</v>
      </c>
      <c r="K90" s="29">
        <f t="shared" si="32"/>
        <v>820.12999117650725</v>
      </c>
      <c r="L90" s="97">
        <v>335</v>
      </c>
      <c r="M90" s="58">
        <f t="shared" si="33"/>
        <v>1</v>
      </c>
      <c r="N90" s="44">
        <f t="shared" ref="N90:N118" si="43">+N89+M90</f>
        <v>-19.999999999999993</v>
      </c>
      <c r="O90" s="44">
        <f t="shared" si="34"/>
        <v>524.12999117650736</v>
      </c>
      <c r="P90" s="54">
        <f t="shared" si="35"/>
        <v>36.146895943207404</v>
      </c>
      <c r="Q90" s="81">
        <f t="shared" si="20"/>
        <v>1206.3760299253108</v>
      </c>
      <c r="R90" s="44">
        <f t="shared" si="36"/>
        <v>-19.999999999999993</v>
      </c>
      <c r="S90" s="65"/>
      <c r="T90" s="44">
        <f t="shared" si="37"/>
        <v>910.37602992531095</v>
      </c>
      <c r="U90" s="64">
        <f t="shared" ref="U90:U118" si="44">+T90/14.5</f>
        <v>62.784553787952476</v>
      </c>
      <c r="V90" s="65">
        <v>1500</v>
      </c>
      <c r="W90" s="44">
        <f t="shared" si="25"/>
        <v>18.55319571998459</v>
      </c>
      <c r="X90" s="44">
        <f t="shared" si="29"/>
        <v>6.5</v>
      </c>
      <c r="Y90" s="44">
        <f t="shared" si="30"/>
        <v>114.75319571998459</v>
      </c>
      <c r="Z90" s="44"/>
      <c r="AA90" s="81">
        <f t="shared" si="21"/>
        <v>960.33703257235879</v>
      </c>
      <c r="AB90" s="44">
        <f t="shared" si="38"/>
        <v>-19.999999999999993</v>
      </c>
      <c r="AC90" s="44">
        <f t="shared" si="39"/>
        <v>664.33703257235891</v>
      </c>
      <c r="AD90" s="64">
        <f t="shared" si="40"/>
        <v>45.816347073955789</v>
      </c>
      <c r="AE90" s="81">
        <f t="shared" si="22"/>
        <v>679.92294978065536</v>
      </c>
      <c r="AF90" s="82">
        <f t="shared" si="41"/>
        <v>-19.999999999999993</v>
      </c>
      <c r="AG90" s="44">
        <f t="shared" si="42"/>
        <v>383.92294978065547</v>
      </c>
      <c r="AH90" s="64">
        <f t="shared" ref="AH90:AH118" si="45">+AG90/14.5</f>
        <v>26.477444812458998</v>
      </c>
      <c r="AI90" s="62"/>
      <c r="AK90" s="21"/>
      <c r="AL90" s="87"/>
    </row>
    <row r="91" spans="2:38" s="3" customFormat="1" x14ac:dyDescent="0.3">
      <c r="B91" s="19">
        <v>87.619913419913402</v>
      </c>
      <c r="C91" s="1">
        <f t="shared" si="28"/>
        <v>19682.93735064935</v>
      </c>
      <c r="D91" s="5">
        <v>0.93704155844155601</v>
      </c>
      <c r="E91" s="28">
        <v>2.28467532467532</v>
      </c>
      <c r="F91" s="1"/>
      <c r="I91" s="90">
        <v>33500</v>
      </c>
      <c r="J91" s="29">
        <f t="shared" si="31"/>
        <v>20.815986677768528</v>
      </c>
      <c r="K91" s="29">
        <f t="shared" si="32"/>
        <v>832.55620316403008</v>
      </c>
      <c r="L91" s="98">
        <v>347</v>
      </c>
      <c r="M91" s="58">
        <f t="shared" si="33"/>
        <v>1.2</v>
      </c>
      <c r="N91" s="44">
        <f t="shared" si="43"/>
        <v>-18.799999999999994</v>
      </c>
      <c r="O91" s="44">
        <f t="shared" si="34"/>
        <v>554.31620316403018</v>
      </c>
      <c r="P91" s="54">
        <f t="shared" si="35"/>
        <v>38.22870366648484</v>
      </c>
      <c r="Q91" s="81">
        <f t="shared" si="20"/>
        <v>1224.6544546211492</v>
      </c>
      <c r="R91" s="44">
        <f t="shared" si="36"/>
        <v>-18.799999999999994</v>
      </c>
      <c r="S91" s="65"/>
      <c r="T91" s="44">
        <f t="shared" si="37"/>
        <v>946.41445462114928</v>
      </c>
      <c r="U91" s="64">
        <f t="shared" si="44"/>
        <v>65.269962387665473</v>
      </c>
      <c r="V91" s="65">
        <v>1600</v>
      </c>
      <c r="W91" s="44">
        <f t="shared" si="25"/>
        <v>19.790075434650234</v>
      </c>
      <c r="X91" s="44">
        <f t="shared" si="29"/>
        <v>7.7</v>
      </c>
      <c r="Y91" s="44">
        <f t="shared" si="30"/>
        <v>133.75007543465023</v>
      </c>
      <c r="Z91" s="44"/>
      <c r="AA91" s="81">
        <f t="shared" si="21"/>
        <v>974.88759367194007</v>
      </c>
      <c r="AB91" s="44">
        <f t="shared" si="38"/>
        <v>-18.799999999999994</v>
      </c>
      <c r="AC91" s="44">
        <f t="shared" si="39"/>
        <v>696.64759367194017</v>
      </c>
      <c r="AD91" s="64">
        <f t="shared" si="40"/>
        <v>48.044661632547601</v>
      </c>
      <c r="AE91" s="81">
        <f t="shared" si="22"/>
        <v>690.22481265611998</v>
      </c>
      <c r="AF91" s="82">
        <f t="shared" si="41"/>
        <v>-18.799999999999994</v>
      </c>
      <c r="AG91" s="44">
        <f t="shared" si="42"/>
        <v>411.98481265612008</v>
      </c>
      <c r="AH91" s="64">
        <f t="shared" si="45"/>
        <v>28.412745700422075</v>
      </c>
      <c r="AI91" s="62"/>
      <c r="AK91" s="21"/>
      <c r="AL91" s="87"/>
    </row>
    <row r="92" spans="2:38" s="3" customFormat="1" x14ac:dyDescent="0.3">
      <c r="B92" s="1">
        <v>89.939393939393995</v>
      </c>
      <c r="C92" s="1">
        <f t="shared" si="28"/>
        <v>20203.985454545465</v>
      </c>
      <c r="D92" s="5">
        <v>0.96659090909090695</v>
      </c>
      <c r="E92" s="10">
        <v>2.35708441558441</v>
      </c>
      <c r="F92" s="1"/>
      <c r="I92" s="90">
        <v>34000</v>
      </c>
      <c r="J92" s="29">
        <f t="shared" si="31"/>
        <v>21.12667304609343</v>
      </c>
      <c r="K92" s="29">
        <f t="shared" si="32"/>
        <v>844.9824151515528</v>
      </c>
      <c r="L92" s="97">
        <v>350</v>
      </c>
      <c r="M92" s="58">
        <f t="shared" si="33"/>
        <v>0.3</v>
      </c>
      <c r="N92" s="44">
        <f t="shared" si="43"/>
        <v>-18.499999999999993</v>
      </c>
      <c r="O92" s="44">
        <f t="shared" si="34"/>
        <v>571.18241515155296</v>
      </c>
      <c r="P92" s="54">
        <f t="shared" si="35"/>
        <v>39.391890700107098</v>
      </c>
      <c r="Q92" s="81">
        <f t="shared" si="20"/>
        <v>1242.9328793169871</v>
      </c>
      <c r="R92" s="44">
        <f t="shared" si="36"/>
        <v>-18.499999999999993</v>
      </c>
      <c r="S92" s="46"/>
      <c r="T92" s="59">
        <f t="shared" si="37"/>
        <v>969.1328793169871</v>
      </c>
      <c r="U92" s="63">
        <f t="shared" si="44"/>
        <v>66.836750297723242</v>
      </c>
      <c r="V92" s="65">
        <v>1700</v>
      </c>
      <c r="W92" s="44">
        <f t="shared" si="25"/>
        <v>21.026955149315871</v>
      </c>
      <c r="X92" s="44">
        <f t="shared" si="29"/>
        <v>8</v>
      </c>
      <c r="Y92" s="44">
        <f t="shared" si="30"/>
        <v>139.42695514931589</v>
      </c>
      <c r="Z92" s="44"/>
      <c r="AA92" s="81">
        <f t="shared" si="21"/>
        <v>989.43815477152123</v>
      </c>
      <c r="AB92" s="44">
        <f t="shared" si="38"/>
        <v>-18.499999999999993</v>
      </c>
      <c r="AC92" s="44">
        <f t="shared" si="39"/>
        <v>715.63815477152139</v>
      </c>
      <c r="AD92" s="64">
        <f t="shared" si="40"/>
        <v>49.354355501484235</v>
      </c>
      <c r="AE92" s="81">
        <f t="shared" si="22"/>
        <v>700.52667553158437</v>
      </c>
      <c r="AF92" s="82">
        <f t="shared" si="41"/>
        <v>-18.499999999999993</v>
      </c>
      <c r="AG92" s="44">
        <f t="shared" si="42"/>
        <v>426.72667553158448</v>
      </c>
      <c r="AH92" s="64">
        <f t="shared" si="45"/>
        <v>29.429425898729964</v>
      </c>
      <c r="AI92" s="72"/>
      <c r="AK92" s="21"/>
      <c r="AL92" s="87"/>
    </row>
    <row r="93" spans="2:38" s="3" customFormat="1" x14ac:dyDescent="0.3">
      <c r="B93" s="1">
        <v>92.258874458874402</v>
      </c>
      <c r="C93" s="1">
        <f t="shared" si="28"/>
        <v>20725.033558441544</v>
      </c>
      <c r="D93" s="5">
        <v>0.996140259740256</v>
      </c>
      <c r="E93" s="10">
        <v>2.4294935064934999</v>
      </c>
      <c r="F93" s="1"/>
      <c r="I93" s="90">
        <v>34500</v>
      </c>
      <c r="J93" s="29">
        <f t="shared" si="31"/>
        <v>21.437359414418335</v>
      </c>
      <c r="K93" s="29">
        <f t="shared" si="32"/>
        <v>857.40862713907575</v>
      </c>
      <c r="L93" s="98">
        <v>356</v>
      </c>
      <c r="M93" s="58">
        <f t="shared" si="33"/>
        <v>0.6</v>
      </c>
      <c r="N93" s="44">
        <f t="shared" si="43"/>
        <v>-17.899999999999991</v>
      </c>
      <c r="O93" s="44">
        <f t="shared" si="34"/>
        <v>592.48862713907579</v>
      </c>
      <c r="P93" s="54">
        <f t="shared" si="35"/>
        <v>40.861284630281091</v>
      </c>
      <c r="Q93" s="81">
        <f t="shared" si="20"/>
        <v>1261.2113040128252</v>
      </c>
      <c r="R93" s="44">
        <f t="shared" si="36"/>
        <v>-17.899999999999991</v>
      </c>
      <c r="S93" s="44"/>
      <c r="T93" s="44">
        <f t="shared" si="37"/>
        <v>996.29130401282532</v>
      </c>
      <c r="U93" s="64">
        <f t="shared" si="44"/>
        <v>68.709745104332782</v>
      </c>
      <c r="V93" s="65">
        <v>1800</v>
      </c>
      <c r="W93" s="44">
        <f t="shared" si="25"/>
        <v>22.263834863981508</v>
      </c>
      <c r="X93" s="44">
        <f t="shared" si="29"/>
        <v>8.6</v>
      </c>
      <c r="Y93" s="44">
        <f t="shared" si="30"/>
        <v>149.54383486398152</v>
      </c>
      <c r="Z93" s="44"/>
      <c r="AA93" s="81">
        <f t="shared" si="21"/>
        <v>1003.9887158711025</v>
      </c>
      <c r="AB93" s="44">
        <f t="shared" si="38"/>
        <v>-17.899999999999991</v>
      </c>
      <c r="AC93" s="61">
        <f t="shared" si="39"/>
        <v>739.06871587110254</v>
      </c>
      <c r="AD93" s="64">
        <f t="shared" si="40"/>
        <v>50.970256266972591</v>
      </c>
      <c r="AE93" s="81">
        <f t="shared" si="22"/>
        <v>710.82853840704888</v>
      </c>
      <c r="AF93" s="82">
        <f t="shared" si="41"/>
        <v>-17.899999999999991</v>
      </c>
      <c r="AG93" s="44">
        <f t="shared" si="42"/>
        <v>445.90853840704898</v>
      </c>
      <c r="AH93" s="64">
        <f t="shared" si="45"/>
        <v>30.752312993589584</v>
      </c>
      <c r="AI93" s="62"/>
      <c r="AK93" s="21"/>
      <c r="AL93" s="87"/>
    </row>
    <row r="94" spans="2:38" s="3" customFormat="1" x14ac:dyDescent="0.3">
      <c r="B94" s="1">
        <v>94.578354978354994</v>
      </c>
      <c r="C94" s="1">
        <f t="shared" si="28"/>
        <v>21246.081662337667</v>
      </c>
      <c r="D94" s="5">
        <v>1.02568961038961</v>
      </c>
      <c r="E94" s="10">
        <v>2.5019025974025899</v>
      </c>
      <c r="F94" s="1"/>
      <c r="I94" s="90">
        <v>35000</v>
      </c>
      <c r="J94" s="29">
        <f t="shared" si="31"/>
        <v>21.748045782743237</v>
      </c>
      <c r="K94" s="29">
        <f t="shared" si="32"/>
        <v>869.83483912659858</v>
      </c>
      <c r="L94" s="97">
        <v>360</v>
      </c>
      <c r="M94" s="58">
        <f t="shared" si="33"/>
        <v>0.4</v>
      </c>
      <c r="N94" s="44">
        <f t="shared" si="43"/>
        <v>-17.499999999999993</v>
      </c>
      <c r="O94" s="44">
        <f t="shared" si="34"/>
        <v>610.83483912659869</v>
      </c>
      <c r="P94" s="54">
        <f t="shared" si="35"/>
        <v>42.126540629420603</v>
      </c>
      <c r="Q94" s="81">
        <f t="shared" si="20"/>
        <v>1279.4897287086633</v>
      </c>
      <c r="R94" s="44">
        <f t="shared" si="36"/>
        <v>-17.499999999999993</v>
      </c>
      <c r="S94" s="44"/>
      <c r="T94" s="44">
        <f t="shared" si="37"/>
        <v>1020.4897287086634</v>
      </c>
      <c r="U94" s="64">
        <f t="shared" si="44"/>
        <v>70.378601979907813</v>
      </c>
      <c r="V94" s="65">
        <v>1900</v>
      </c>
      <c r="W94" s="44">
        <f t="shared" si="25"/>
        <v>23.500714578647148</v>
      </c>
      <c r="X94" s="44">
        <f t="shared" si="29"/>
        <v>9</v>
      </c>
      <c r="Y94" s="44">
        <f t="shared" si="30"/>
        <v>156.70071457864717</v>
      </c>
      <c r="Z94" s="44"/>
      <c r="AA94" s="81">
        <f t="shared" si="21"/>
        <v>1018.5392769706838</v>
      </c>
      <c r="AB94" s="44">
        <f t="shared" si="38"/>
        <v>-17.499999999999993</v>
      </c>
      <c r="AC94" s="61">
        <f t="shared" si="39"/>
        <v>759.53927697068389</v>
      </c>
      <c r="AD94" s="64">
        <f t="shared" si="40"/>
        <v>52.382019101426472</v>
      </c>
      <c r="AE94" s="81">
        <f t="shared" si="22"/>
        <v>721.13040128251339</v>
      </c>
      <c r="AF94" s="82">
        <f t="shared" si="41"/>
        <v>-17.499999999999993</v>
      </c>
      <c r="AG94" s="44">
        <f t="shared" si="42"/>
        <v>462.1304012825135</v>
      </c>
      <c r="AH94" s="64">
        <f t="shared" si="45"/>
        <v>31.871062157414723</v>
      </c>
      <c r="AI94" s="62"/>
      <c r="AK94" s="21"/>
      <c r="AL94" s="87"/>
    </row>
    <row r="95" spans="2:38" s="3" customFormat="1" x14ac:dyDescent="0.3">
      <c r="B95" s="1">
        <v>96.897835497835501</v>
      </c>
      <c r="C95" s="1">
        <f t="shared" si="28"/>
        <v>21767.129766233767</v>
      </c>
      <c r="D95" s="5">
        <v>1.0552389610389601</v>
      </c>
      <c r="E95" s="10">
        <v>2.5743116883116799</v>
      </c>
      <c r="F95" s="1"/>
      <c r="H95" s="17" t="s">
        <v>61</v>
      </c>
      <c r="I95" s="100">
        <v>35500</v>
      </c>
      <c r="J95" s="101">
        <f t="shared" si="31"/>
        <v>22.058732151068142</v>
      </c>
      <c r="K95" s="29">
        <f t="shared" si="32"/>
        <v>882.26105111412153</v>
      </c>
      <c r="L95" s="109">
        <v>370</v>
      </c>
      <c r="M95" s="59">
        <f t="shared" si="33"/>
        <v>1</v>
      </c>
      <c r="N95" s="59">
        <f t="shared" si="43"/>
        <v>-16.499999999999993</v>
      </c>
      <c r="O95" s="59">
        <f t="shared" si="34"/>
        <v>638.0610511141216</v>
      </c>
      <c r="P95" s="99">
        <f t="shared" si="35"/>
        <v>44.004210421663558</v>
      </c>
      <c r="Q95" s="103">
        <f t="shared" si="20"/>
        <v>1297.7681534045014</v>
      </c>
      <c r="R95" s="59">
        <f t="shared" si="36"/>
        <v>-16.499999999999993</v>
      </c>
      <c r="S95" s="59"/>
      <c r="T95" s="59">
        <f t="shared" si="37"/>
        <v>1053.5681534045016</v>
      </c>
      <c r="U95" s="63">
        <f t="shared" si="44"/>
        <v>72.659872648586315</v>
      </c>
      <c r="V95" s="59">
        <v>2000</v>
      </c>
      <c r="W95" s="59">
        <f t="shared" si="25"/>
        <v>24.737594293312789</v>
      </c>
      <c r="X95" s="59">
        <f t="shared" si="29"/>
        <v>10</v>
      </c>
      <c r="Y95" s="59">
        <f t="shared" si="30"/>
        <v>172.73759429331278</v>
      </c>
      <c r="Z95" s="59"/>
      <c r="AA95" s="103">
        <f t="shared" si="21"/>
        <v>1033.0898380702649</v>
      </c>
      <c r="AB95" s="59">
        <f t="shared" si="38"/>
        <v>-16.499999999999993</v>
      </c>
      <c r="AC95" s="99">
        <f t="shared" si="39"/>
        <v>788.889838070265</v>
      </c>
      <c r="AD95" s="63">
        <f t="shared" si="40"/>
        <v>54.406195728983796</v>
      </c>
      <c r="AE95" s="103">
        <f t="shared" si="22"/>
        <v>731.4322641579779</v>
      </c>
      <c r="AF95" s="104">
        <f t="shared" si="41"/>
        <v>-16.499999999999993</v>
      </c>
      <c r="AG95" s="59">
        <f t="shared" si="42"/>
        <v>487.23226415797797</v>
      </c>
      <c r="AH95" s="63">
        <f t="shared" si="45"/>
        <v>33.602225114343305</v>
      </c>
      <c r="AI95" s="105"/>
      <c r="AJ95" s="106"/>
      <c r="AK95" s="107"/>
      <c r="AL95" s="108" t="s">
        <v>64</v>
      </c>
    </row>
    <row r="96" spans="2:38" s="3" customFormat="1" x14ac:dyDescent="0.3">
      <c r="B96" s="1"/>
      <c r="C96" s="1"/>
      <c r="D96" s="1"/>
      <c r="F96" s="1"/>
      <c r="I96" s="90">
        <v>36000</v>
      </c>
      <c r="J96" s="29">
        <f t="shared" si="31"/>
        <v>22.369418519393044</v>
      </c>
      <c r="K96" s="29">
        <f t="shared" si="32"/>
        <v>894.68726310164425</v>
      </c>
      <c r="L96" s="97">
        <v>370</v>
      </c>
      <c r="M96" s="58">
        <f t="shared" si="33"/>
        <v>0</v>
      </c>
      <c r="N96" s="44">
        <f t="shared" si="43"/>
        <v>-16.499999999999993</v>
      </c>
      <c r="O96" s="44">
        <f t="shared" si="34"/>
        <v>650.48726310164432</v>
      </c>
      <c r="P96" s="54">
        <f t="shared" si="35"/>
        <v>44.861190558734094</v>
      </c>
      <c r="Q96" s="81">
        <f t="shared" si="20"/>
        <v>1316.0465781003393</v>
      </c>
      <c r="R96" s="44">
        <f t="shared" si="36"/>
        <v>-16.499999999999993</v>
      </c>
      <c r="S96" s="44"/>
      <c r="T96" s="44">
        <f t="shared" si="37"/>
        <v>1071.8465781003395</v>
      </c>
      <c r="U96" s="64">
        <f t="shared" si="44"/>
        <v>73.92045366209237</v>
      </c>
      <c r="V96" s="65">
        <v>2100</v>
      </c>
      <c r="W96" s="44">
        <f t="shared" si="25"/>
        <v>25.974474007978433</v>
      </c>
      <c r="X96" s="44">
        <f t="shared" si="29"/>
        <v>10</v>
      </c>
      <c r="Y96" s="44">
        <f t="shared" si="30"/>
        <v>173.97447400797844</v>
      </c>
      <c r="Z96" s="44"/>
      <c r="AA96" s="81">
        <f t="shared" si="21"/>
        <v>1047.640399169846</v>
      </c>
      <c r="AB96" s="44">
        <f t="shared" si="38"/>
        <v>-16.499999999999993</v>
      </c>
      <c r="AC96" s="61">
        <f t="shared" si="39"/>
        <v>803.44039916984605</v>
      </c>
      <c r="AD96" s="64">
        <f t="shared" si="40"/>
        <v>55.409682701368695</v>
      </c>
      <c r="AE96" s="81">
        <f t="shared" si="22"/>
        <v>741.73412703344229</v>
      </c>
      <c r="AF96" s="82">
        <f t="shared" si="41"/>
        <v>-16.499999999999993</v>
      </c>
      <c r="AG96" s="44">
        <f t="shared" si="42"/>
        <v>497.53412703344236</v>
      </c>
      <c r="AH96" s="64">
        <f t="shared" si="45"/>
        <v>34.312698416099472</v>
      </c>
      <c r="AK96" s="21"/>
      <c r="AL96" s="87"/>
    </row>
    <row r="97" spans="2:38" s="3" customFormat="1" x14ac:dyDescent="0.3">
      <c r="B97" s="1"/>
      <c r="C97" s="1"/>
      <c r="D97" s="1"/>
      <c r="F97" s="1"/>
      <c r="I97" s="90">
        <v>36500</v>
      </c>
      <c r="J97" s="29">
        <f t="shared" si="31"/>
        <v>22.680104887717949</v>
      </c>
      <c r="K97" s="29">
        <f t="shared" si="32"/>
        <v>907.1134750891672</v>
      </c>
      <c r="L97" s="98">
        <v>377</v>
      </c>
      <c r="M97" s="58">
        <f t="shared" si="33"/>
        <v>0.7</v>
      </c>
      <c r="N97" s="44">
        <f t="shared" si="43"/>
        <v>-15.799999999999994</v>
      </c>
      <c r="O97" s="44">
        <f t="shared" si="34"/>
        <v>673.27347508916728</v>
      </c>
      <c r="P97" s="54">
        <f t="shared" si="35"/>
        <v>46.432653454425328</v>
      </c>
      <c r="Q97" s="81">
        <f t="shared" si="20"/>
        <v>1334.3250027961774</v>
      </c>
      <c r="R97" s="44">
        <f t="shared" si="36"/>
        <v>-15.799999999999994</v>
      </c>
      <c r="S97" s="44"/>
      <c r="T97" s="44">
        <f t="shared" si="37"/>
        <v>1100.4850027961775</v>
      </c>
      <c r="U97" s="64">
        <f t="shared" si="44"/>
        <v>75.89551743421913</v>
      </c>
      <c r="V97" s="65">
        <v>2200</v>
      </c>
      <c r="W97" s="44">
        <f t="shared" si="25"/>
        <v>27.211353722644066</v>
      </c>
      <c r="X97" s="44">
        <f t="shared" si="29"/>
        <v>10.7</v>
      </c>
      <c r="Y97" s="44">
        <f t="shared" si="30"/>
        <v>185.57135372264406</v>
      </c>
      <c r="Z97" s="44"/>
      <c r="AA97" s="81">
        <f t="shared" si="21"/>
        <v>1062.1909602694273</v>
      </c>
      <c r="AB97" s="44">
        <f t="shared" si="38"/>
        <v>-15.799999999999994</v>
      </c>
      <c r="AC97" s="61">
        <f t="shared" si="39"/>
        <v>828.35096026942733</v>
      </c>
      <c r="AD97" s="64">
        <f t="shared" si="40"/>
        <v>57.127652432374298</v>
      </c>
      <c r="AE97" s="81">
        <f t="shared" si="22"/>
        <v>752.0359899089068</v>
      </c>
      <c r="AF97" s="82">
        <f t="shared" si="41"/>
        <v>-15.799999999999994</v>
      </c>
      <c r="AG97" s="44">
        <f t="shared" si="42"/>
        <v>518.19598990890688</v>
      </c>
      <c r="AH97" s="64">
        <f t="shared" si="45"/>
        <v>35.737654476476337</v>
      </c>
      <c r="AK97" s="21"/>
      <c r="AL97" s="87"/>
    </row>
    <row r="98" spans="2:38" s="3" customFormat="1" x14ac:dyDescent="0.3">
      <c r="B98" s="1"/>
      <c r="C98" s="1"/>
      <c r="D98" s="1"/>
      <c r="F98" s="1"/>
      <c r="I98" s="90">
        <v>37000</v>
      </c>
      <c r="J98" s="29">
        <f t="shared" si="31"/>
        <v>22.990791256042851</v>
      </c>
      <c r="K98" s="29">
        <f t="shared" si="32"/>
        <v>919.53968707669003</v>
      </c>
      <c r="L98" s="97">
        <v>385</v>
      </c>
      <c r="M98" s="58">
        <f t="shared" si="33"/>
        <v>0.8</v>
      </c>
      <c r="N98" s="44">
        <f t="shared" si="43"/>
        <v>-14.999999999999993</v>
      </c>
      <c r="O98" s="44">
        <f t="shared" si="34"/>
        <v>697.53968707669014</v>
      </c>
      <c r="P98" s="54">
        <f t="shared" si="35"/>
        <v>48.106185315633802</v>
      </c>
      <c r="Q98" s="81">
        <f t="shared" si="20"/>
        <v>1352.6034274920155</v>
      </c>
      <c r="R98" s="44">
        <f t="shared" si="36"/>
        <v>-14.999999999999993</v>
      </c>
      <c r="S98" s="44"/>
      <c r="T98" s="44">
        <f t="shared" si="37"/>
        <v>1130.6034274920155</v>
      </c>
      <c r="U98" s="64">
        <f t="shared" si="44"/>
        <v>77.972650171863137</v>
      </c>
      <c r="V98" s="65">
        <v>2300</v>
      </c>
      <c r="W98" s="44">
        <f t="shared" si="25"/>
        <v>28.448233437309707</v>
      </c>
      <c r="X98" s="44">
        <f t="shared" si="29"/>
        <v>11.5</v>
      </c>
      <c r="Y98" s="44">
        <f t="shared" si="30"/>
        <v>198.64823343730973</v>
      </c>
      <c r="Z98" s="44"/>
      <c r="AA98" s="81">
        <f t="shared" si="21"/>
        <v>1076.7415213690085</v>
      </c>
      <c r="AB98" s="44">
        <f t="shared" si="38"/>
        <v>-14.999999999999993</v>
      </c>
      <c r="AC98" s="61">
        <f t="shared" si="39"/>
        <v>854.74152136900864</v>
      </c>
      <c r="AD98" s="64">
        <f t="shared" si="40"/>
        <v>58.947691128897148</v>
      </c>
      <c r="AE98" s="81">
        <f t="shared" si="22"/>
        <v>762.33785278437131</v>
      </c>
      <c r="AF98" s="82">
        <f t="shared" si="41"/>
        <v>-14.999999999999993</v>
      </c>
      <c r="AG98" s="44">
        <f t="shared" si="42"/>
        <v>540.33785278437142</v>
      </c>
      <c r="AH98" s="64">
        <f t="shared" si="45"/>
        <v>37.264679502370441</v>
      </c>
      <c r="AK98" s="21"/>
      <c r="AL98" s="87"/>
    </row>
    <row r="99" spans="2:38" s="3" customFormat="1" x14ac:dyDescent="0.3">
      <c r="B99" s="1"/>
      <c r="C99" s="1"/>
      <c r="D99" s="1"/>
      <c r="F99" s="1"/>
      <c r="I99" s="90">
        <v>37500</v>
      </c>
      <c r="J99" s="29">
        <f t="shared" si="31"/>
        <v>23.301477624367756</v>
      </c>
      <c r="K99" s="29">
        <f t="shared" si="32"/>
        <v>931.96589906421298</v>
      </c>
      <c r="L99" s="98">
        <v>391</v>
      </c>
      <c r="M99" s="58">
        <f t="shared" si="33"/>
        <v>0.6</v>
      </c>
      <c r="N99" s="44">
        <f t="shared" si="43"/>
        <v>-14.399999999999993</v>
      </c>
      <c r="O99" s="44">
        <f t="shared" si="34"/>
        <v>718.84589906421309</v>
      </c>
      <c r="P99" s="54">
        <f t="shared" si="35"/>
        <v>49.575579245807802</v>
      </c>
      <c r="Q99" s="81">
        <f t="shared" si="20"/>
        <v>1370.8818521878536</v>
      </c>
      <c r="R99" s="44">
        <f t="shared" si="36"/>
        <v>-14.399999999999993</v>
      </c>
      <c r="S99" s="44"/>
      <c r="T99" s="44">
        <f t="shared" si="37"/>
        <v>1157.7618521878537</v>
      </c>
      <c r="U99" s="64">
        <f t="shared" si="44"/>
        <v>79.845644978472677</v>
      </c>
      <c r="V99" s="65">
        <v>2400</v>
      </c>
      <c r="W99" s="44">
        <f t="shared" si="25"/>
        <v>29.685113151975344</v>
      </c>
      <c r="X99" s="44">
        <f t="shared" si="29"/>
        <v>12.1</v>
      </c>
      <c r="Y99" s="44">
        <f t="shared" si="30"/>
        <v>208.76511315197536</v>
      </c>
      <c r="Z99" s="44"/>
      <c r="AA99" s="81">
        <f t="shared" si="21"/>
        <v>1091.2920824685898</v>
      </c>
      <c r="AB99" s="44">
        <f t="shared" si="38"/>
        <v>-14.399999999999993</v>
      </c>
      <c r="AC99" s="61">
        <f t="shared" si="39"/>
        <v>878.17208246858991</v>
      </c>
      <c r="AD99" s="64">
        <f t="shared" si="40"/>
        <v>60.56359189438551</v>
      </c>
      <c r="AE99" s="81">
        <f t="shared" si="22"/>
        <v>772.63971565983593</v>
      </c>
      <c r="AF99" s="82">
        <f t="shared" si="41"/>
        <v>-14.399999999999993</v>
      </c>
      <c r="AG99" s="44">
        <f t="shared" si="42"/>
        <v>559.51971565983604</v>
      </c>
      <c r="AH99" s="64">
        <f t="shared" si="45"/>
        <v>38.587566597230072</v>
      </c>
      <c r="AK99" s="21"/>
      <c r="AL99" s="87"/>
    </row>
    <row r="100" spans="2:38" s="3" customFormat="1" x14ac:dyDescent="0.3">
      <c r="B100" s="1"/>
      <c r="C100" s="1"/>
      <c r="D100" s="1"/>
      <c r="F100" s="1"/>
      <c r="I100" s="90">
        <v>38000</v>
      </c>
      <c r="J100" s="29">
        <f t="shared" si="31"/>
        <v>23.612163992692658</v>
      </c>
      <c r="K100" s="29">
        <f t="shared" si="32"/>
        <v>944.3921110517357</v>
      </c>
      <c r="L100" s="97">
        <v>403</v>
      </c>
      <c r="M100" s="58">
        <f t="shared" si="33"/>
        <v>1.2</v>
      </c>
      <c r="N100" s="44">
        <f t="shared" si="43"/>
        <v>-13.199999999999994</v>
      </c>
      <c r="O100" s="44">
        <f t="shared" si="34"/>
        <v>749.0321110517358</v>
      </c>
      <c r="P100" s="54">
        <f t="shared" si="35"/>
        <v>51.657386969085231</v>
      </c>
      <c r="Q100" s="81">
        <f t="shared" si="20"/>
        <v>1389.1602768836915</v>
      </c>
      <c r="R100" s="44">
        <f t="shared" si="36"/>
        <v>-13.199999999999994</v>
      </c>
      <c r="S100" s="44"/>
      <c r="T100" s="44">
        <f t="shared" si="37"/>
        <v>1193.8002768836916</v>
      </c>
      <c r="U100" s="64">
        <f t="shared" si="44"/>
        <v>82.331053578185632</v>
      </c>
      <c r="V100" s="65">
        <v>2500</v>
      </c>
      <c r="W100" s="44">
        <f t="shared" si="25"/>
        <v>30.921992866640984</v>
      </c>
      <c r="X100" s="44">
        <f t="shared" si="29"/>
        <v>13.299999999999999</v>
      </c>
      <c r="Y100" s="44">
        <f t="shared" si="30"/>
        <v>227.76199286664098</v>
      </c>
      <c r="Z100" s="44"/>
      <c r="AA100" s="81">
        <f t="shared" si="21"/>
        <v>1105.8426435681708</v>
      </c>
      <c r="AB100" s="44">
        <f t="shared" si="38"/>
        <v>-13.199999999999994</v>
      </c>
      <c r="AC100" s="61">
        <f t="shared" si="39"/>
        <v>910.48264356817094</v>
      </c>
      <c r="AD100" s="64">
        <f t="shared" si="40"/>
        <v>62.791906452977308</v>
      </c>
      <c r="AE100" s="81">
        <f t="shared" si="22"/>
        <v>782.94157853530021</v>
      </c>
      <c r="AF100" s="82">
        <f t="shared" si="41"/>
        <v>-13.199999999999994</v>
      </c>
      <c r="AG100" s="44">
        <f t="shared" si="42"/>
        <v>587.58157853530031</v>
      </c>
      <c r="AH100" s="64">
        <f t="shared" si="45"/>
        <v>40.522867485193125</v>
      </c>
      <c r="AK100" s="21"/>
      <c r="AL100" s="87"/>
    </row>
    <row r="101" spans="2:38" s="3" customFormat="1" x14ac:dyDescent="0.3">
      <c r="B101" s="1"/>
      <c r="C101" s="1"/>
      <c r="D101" s="1"/>
      <c r="F101" s="1"/>
      <c r="I101" s="100">
        <v>38500</v>
      </c>
      <c r="J101" s="101">
        <f t="shared" si="31"/>
        <v>23.922850361017563</v>
      </c>
      <c r="K101" s="29">
        <f t="shared" si="32"/>
        <v>956.81832303925853</v>
      </c>
      <c r="L101" s="109">
        <v>413</v>
      </c>
      <c r="M101" s="59">
        <f t="shared" si="33"/>
        <v>1</v>
      </c>
      <c r="N101" s="59">
        <f t="shared" si="43"/>
        <v>-12.199999999999994</v>
      </c>
      <c r="O101" s="59">
        <f t="shared" si="34"/>
        <v>776.25832303925858</v>
      </c>
      <c r="P101" s="99">
        <f t="shared" si="35"/>
        <v>53.535056761328178</v>
      </c>
      <c r="Q101" s="103">
        <f t="shared" si="20"/>
        <v>1407.4387015795296</v>
      </c>
      <c r="R101" s="59">
        <f t="shared" si="36"/>
        <v>-12.199999999999994</v>
      </c>
      <c r="S101" s="59"/>
      <c r="T101" s="59">
        <f t="shared" si="37"/>
        <v>1226.8787015795297</v>
      </c>
      <c r="U101" s="63">
        <f t="shared" si="44"/>
        <v>84.612324246864119</v>
      </c>
      <c r="V101" s="59">
        <v>2600</v>
      </c>
      <c r="W101" s="59">
        <f t="shared" si="25"/>
        <v>32.158872581306618</v>
      </c>
      <c r="X101" s="59">
        <f t="shared" si="29"/>
        <v>14.299999999999999</v>
      </c>
      <c r="Y101" s="59">
        <f t="shared" si="30"/>
        <v>243.7988725813066</v>
      </c>
      <c r="Z101" s="59"/>
      <c r="AA101" s="103">
        <f t="shared" si="21"/>
        <v>1120.3932046677521</v>
      </c>
      <c r="AB101" s="59">
        <f t="shared" si="38"/>
        <v>-12.199999999999994</v>
      </c>
      <c r="AC101" s="99">
        <f t="shared" si="39"/>
        <v>939.83320466775217</v>
      </c>
      <c r="AD101" s="63">
        <f t="shared" si="40"/>
        <v>64.816083080534639</v>
      </c>
      <c r="AE101" s="103">
        <f t="shared" si="22"/>
        <v>793.24344141076483</v>
      </c>
      <c r="AF101" s="104">
        <f t="shared" si="41"/>
        <v>-12.199999999999994</v>
      </c>
      <c r="AG101" s="59">
        <f t="shared" si="42"/>
        <v>612.68344141076489</v>
      </c>
      <c r="AH101" s="63">
        <f t="shared" si="45"/>
        <v>42.254030442121717</v>
      </c>
      <c r="AI101" s="106"/>
      <c r="AJ101" s="106"/>
      <c r="AK101" s="107"/>
      <c r="AL101" s="108" t="s">
        <v>65</v>
      </c>
    </row>
    <row r="102" spans="2:38" s="3" customFormat="1" x14ac:dyDescent="0.3">
      <c r="B102" s="1"/>
      <c r="C102" s="1"/>
      <c r="D102" s="1"/>
      <c r="F102" s="1"/>
      <c r="I102" s="90">
        <v>39000</v>
      </c>
      <c r="J102" s="29">
        <f t="shared" si="31"/>
        <v>24.233536729342465</v>
      </c>
      <c r="K102" s="29">
        <f t="shared" si="32"/>
        <v>969.24453502678125</v>
      </c>
      <c r="L102" s="97">
        <v>420</v>
      </c>
      <c r="M102" s="58">
        <f t="shared" si="33"/>
        <v>0.7</v>
      </c>
      <c r="N102" s="44">
        <f t="shared" si="43"/>
        <v>-11.499999999999995</v>
      </c>
      <c r="O102" s="44">
        <f t="shared" si="34"/>
        <v>799.04453502678132</v>
      </c>
      <c r="P102" s="54">
        <f t="shared" si="35"/>
        <v>55.106519657019405</v>
      </c>
      <c r="Q102" s="81">
        <f t="shared" si="20"/>
        <v>1425.7171262753675</v>
      </c>
      <c r="R102" s="44">
        <f t="shared" si="36"/>
        <v>-11.499999999999995</v>
      </c>
      <c r="S102" s="44"/>
      <c r="T102" s="44">
        <f t="shared" si="37"/>
        <v>1255.5171262753674</v>
      </c>
      <c r="U102" s="64">
        <f t="shared" si="44"/>
        <v>86.587388018990865</v>
      </c>
      <c r="V102" s="65">
        <v>2700</v>
      </c>
      <c r="W102" s="44">
        <f t="shared" si="25"/>
        <v>33.395752295972258</v>
      </c>
      <c r="X102" s="44">
        <f t="shared" si="29"/>
        <v>14.999999999999998</v>
      </c>
      <c r="Y102" s="44">
        <f t="shared" si="30"/>
        <v>255.39575229597222</v>
      </c>
      <c r="Z102" s="44"/>
      <c r="AA102" s="81">
        <f t="shared" si="21"/>
        <v>1134.9437657673332</v>
      </c>
      <c r="AB102" s="44">
        <f t="shared" si="38"/>
        <v>-11.499999999999995</v>
      </c>
      <c r="AC102" s="61">
        <f t="shared" si="39"/>
        <v>964.74376576733323</v>
      </c>
      <c r="AD102" s="64">
        <f t="shared" si="40"/>
        <v>66.534052811540221</v>
      </c>
      <c r="AE102" s="81">
        <f t="shared" si="22"/>
        <v>803.54530428622922</v>
      </c>
      <c r="AF102" s="82">
        <f t="shared" si="41"/>
        <v>-11.499999999999995</v>
      </c>
      <c r="AG102" s="44">
        <f t="shared" si="42"/>
        <v>633.34530428622929</v>
      </c>
      <c r="AH102" s="64">
        <f t="shared" si="45"/>
        <v>43.678986502498574</v>
      </c>
      <c r="AK102" s="21"/>
      <c r="AL102" s="87"/>
    </row>
    <row r="103" spans="2:38" s="3" customFormat="1" x14ac:dyDescent="0.3">
      <c r="B103" s="1"/>
      <c r="C103" s="1"/>
      <c r="D103" s="1"/>
      <c r="F103" s="1"/>
      <c r="I103" s="90">
        <v>39500</v>
      </c>
      <c r="J103" s="29">
        <f t="shared" si="31"/>
        <v>24.544223097667366</v>
      </c>
      <c r="K103" s="29">
        <f t="shared" si="32"/>
        <v>981.67074701430397</v>
      </c>
      <c r="L103" s="98">
        <v>431</v>
      </c>
      <c r="M103" s="58">
        <f t="shared" si="33"/>
        <v>1.1000000000000001</v>
      </c>
      <c r="N103" s="44">
        <f t="shared" si="43"/>
        <v>-10.399999999999995</v>
      </c>
      <c r="O103" s="44">
        <f t="shared" si="34"/>
        <v>827.75074701430401</v>
      </c>
      <c r="P103" s="54">
        <f t="shared" si="35"/>
        <v>57.086258414779586</v>
      </c>
      <c r="Q103" s="81">
        <f t="shared" si="20"/>
        <v>1443.9955509712054</v>
      </c>
      <c r="R103" s="44">
        <f t="shared" si="36"/>
        <v>-10.399999999999995</v>
      </c>
      <c r="S103" s="44"/>
      <c r="T103" s="44">
        <f t="shared" si="37"/>
        <v>1290.0755509712055</v>
      </c>
      <c r="U103" s="64">
        <f t="shared" si="44"/>
        <v>88.970727653186586</v>
      </c>
      <c r="V103" s="65">
        <v>2800</v>
      </c>
      <c r="W103" s="44">
        <f t="shared" si="25"/>
        <v>34.632632010637906</v>
      </c>
      <c r="X103" s="44">
        <f t="shared" si="29"/>
        <v>16.099999999999998</v>
      </c>
      <c r="Y103" s="44">
        <f t="shared" si="30"/>
        <v>272.91263201063788</v>
      </c>
      <c r="Z103" s="44"/>
      <c r="AA103" s="81">
        <f t="shared" si="21"/>
        <v>1149.4943268669144</v>
      </c>
      <c r="AB103" s="44">
        <f t="shared" si="38"/>
        <v>-10.399999999999995</v>
      </c>
      <c r="AC103" s="61">
        <f t="shared" si="39"/>
        <v>995.57432686691448</v>
      </c>
      <c r="AD103" s="64">
        <f t="shared" si="40"/>
        <v>68.660298404614792</v>
      </c>
      <c r="AE103" s="81">
        <f t="shared" si="22"/>
        <v>813.84716716169362</v>
      </c>
      <c r="AF103" s="82">
        <f t="shared" si="41"/>
        <v>-10.399999999999995</v>
      </c>
      <c r="AG103" s="44">
        <f t="shared" si="42"/>
        <v>659.92716716169366</v>
      </c>
      <c r="AH103" s="64">
        <f t="shared" si="45"/>
        <v>45.512218424944393</v>
      </c>
      <c r="AK103" s="21"/>
      <c r="AL103" s="87"/>
    </row>
    <row r="104" spans="2:38" s="3" customFormat="1" x14ac:dyDescent="0.3">
      <c r="B104" s="1"/>
      <c r="C104" s="1"/>
      <c r="D104" s="1"/>
      <c r="F104" s="1"/>
      <c r="I104" s="90">
        <v>40000</v>
      </c>
      <c r="J104" s="29">
        <f t="shared" si="31"/>
        <v>24.854909465992272</v>
      </c>
      <c r="K104" s="29">
        <f t="shared" si="32"/>
        <v>994.09695900182692</v>
      </c>
      <c r="L104" s="97">
        <v>440</v>
      </c>
      <c r="M104" s="58">
        <f t="shared" si="33"/>
        <v>0.9</v>
      </c>
      <c r="N104" s="44">
        <f t="shared" si="43"/>
        <v>-9.4999999999999947</v>
      </c>
      <c r="O104" s="44">
        <f t="shared" si="34"/>
        <v>853.49695900182701</v>
      </c>
      <c r="P104" s="54">
        <f t="shared" si="35"/>
        <v>58.861859241505314</v>
      </c>
      <c r="Q104" s="81">
        <f t="shared" si="20"/>
        <v>1462.2739756670435</v>
      </c>
      <c r="R104" s="44">
        <f t="shared" si="36"/>
        <v>-9.4999999999999947</v>
      </c>
      <c r="S104" s="44"/>
      <c r="T104" s="44">
        <f t="shared" si="37"/>
        <v>1321.6739756670436</v>
      </c>
      <c r="U104" s="64">
        <f t="shared" si="44"/>
        <v>91.149929356347826</v>
      </c>
      <c r="V104" s="65">
        <v>2900</v>
      </c>
      <c r="W104" s="44">
        <f t="shared" si="25"/>
        <v>35.869511725303539</v>
      </c>
      <c r="X104" s="44">
        <f t="shared" si="29"/>
        <v>16.999999999999996</v>
      </c>
      <c r="Y104" s="44">
        <f t="shared" si="30"/>
        <v>287.46951172530351</v>
      </c>
      <c r="Z104" s="44"/>
      <c r="AA104" s="81">
        <f t="shared" si="21"/>
        <v>1164.0448879664955</v>
      </c>
      <c r="AB104" s="44">
        <f t="shared" si="38"/>
        <v>-9.4999999999999947</v>
      </c>
      <c r="AC104" s="61">
        <f t="shared" si="39"/>
        <v>1023.4448879664956</v>
      </c>
      <c r="AD104" s="64">
        <f t="shared" si="40"/>
        <v>70.582406066654869</v>
      </c>
      <c r="AE104" s="81">
        <f t="shared" si="22"/>
        <v>824.14903003715813</v>
      </c>
      <c r="AF104" s="82">
        <f t="shared" si="41"/>
        <v>-9.4999999999999947</v>
      </c>
      <c r="AG104" s="44">
        <f t="shared" si="42"/>
        <v>683.54903003715822</v>
      </c>
      <c r="AH104" s="64">
        <f t="shared" si="45"/>
        <v>47.141312416355738</v>
      </c>
      <c r="AK104" s="21"/>
      <c r="AL104" s="87"/>
    </row>
    <row r="105" spans="2:38" s="3" customFormat="1" x14ac:dyDescent="0.3">
      <c r="B105" s="1"/>
      <c r="C105" s="1"/>
      <c r="D105" s="1"/>
      <c r="F105" s="1"/>
      <c r="I105" s="90">
        <v>40500</v>
      </c>
      <c r="J105" s="29">
        <f t="shared" si="31"/>
        <v>25.165595834317173</v>
      </c>
      <c r="K105" s="29">
        <f t="shared" si="32"/>
        <v>1006.5231709893499</v>
      </c>
      <c r="L105" s="98">
        <v>449</v>
      </c>
      <c r="M105" s="58">
        <f t="shared" si="33"/>
        <v>0.9</v>
      </c>
      <c r="N105" s="44">
        <f t="shared" si="43"/>
        <v>-8.5999999999999943</v>
      </c>
      <c r="O105" s="44">
        <f t="shared" si="34"/>
        <v>879.24317098934989</v>
      </c>
      <c r="P105" s="54">
        <f t="shared" si="35"/>
        <v>60.637460068231029</v>
      </c>
      <c r="Q105" s="81">
        <f t="shared" si="20"/>
        <v>1480.5524003628818</v>
      </c>
      <c r="R105" s="44">
        <f t="shared" si="36"/>
        <v>-8.5999999999999943</v>
      </c>
      <c r="S105" s="44"/>
      <c r="T105" s="44">
        <f t="shared" si="37"/>
        <v>1353.2724003628819</v>
      </c>
      <c r="U105" s="64">
        <f t="shared" si="44"/>
        <v>93.329131059509095</v>
      </c>
      <c r="V105" s="65">
        <v>3000</v>
      </c>
      <c r="W105" s="44">
        <f t="shared" si="25"/>
        <v>37.10639143996918</v>
      </c>
      <c r="X105" s="44">
        <f t="shared" si="29"/>
        <v>17.899999999999995</v>
      </c>
      <c r="Y105" s="44">
        <f t="shared" si="30"/>
        <v>302.02639143996913</v>
      </c>
      <c r="Z105" s="44"/>
      <c r="AA105" s="81">
        <f t="shared" si="21"/>
        <v>1178.5954490660768</v>
      </c>
      <c r="AB105" s="44">
        <f t="shared" si="38"/>
        <v>-8.5999999999999943</v>
      </c>
      <c r="AC105" s="61">
        <f t="shared" si="39"/>
        <v>1051.3154490660768</v>
      </c>
      <c r="AD105" s="64">
        <f t="shared" si="40"/>
        <v>72.504513728694945</v>
      </c>
      <c r="AE105" s="81">
        <f t="shared" si="22"/>
        <v>834.45089291262263</v>
      </c>
      <c r="AF105" s="82">
        <f t="shared" si="41"/>
        <v>-8.5999999999999943</v>
      </c>
      <c r="AG105" s="44">
        <f t="shared" si="42"/>
        <v>707.17089291262278</v>
      </c>
      <c r="AH105" s="64">
        <f t="shared" si="45"/>
        <v>48.770406407767091</v>
      </c>
      <c r="AK105" s="21"/>
      <c r="AL105" s="87"/>
    </row>
    <row r="106" spans="2:38" s="3" customFormat="1" x14ac:dyDescent="0.3">
      <c r="B106" s="1"/>
      <c r="C106" s="1"/>
      <c r="D106" s="1"/>
      <c r="F106" s="1"/>
      <c r="I106" s="90">
        <v>41000</v>
      </c>
      <c r="J106" s="29">
        <f t="shared" si="31"/>
        <v>25.476282202642079</v>
      </c>
      <c r="K106" s="29">
        <f t="shared" si="32"/>
        <v>1018.9493829768727</v>
      </c>
      <c r="L106" s="97">
        <v>464</v>
      </c>
      <c r="M106" s="58">
        <f t="shared" si="33"/>
        <v>1.5</v>
      </c>
      <c r="N106" s="44">
        <f t="shared" si="43"/>
        <v>-7.0999999999999943</v>
      </c>
      <c r="O106" s="44">
        <f t="shared" si="34"/>
        <v>913.86938297687277</v>
      </c>
      <c r="P106" s="54">
        <f t="shared" si="35"/>
        <v>63.025474688060193</v>
      </c>
      <c r="Q106" s="81">
        <f t="shared" si="20"/>
        <v>1498.8308250587199</v>
      </c>
      <c r="R106" s="44">
        <f t="shared" si="36"/>
        <v>-7.0999999999999943</v>
      </c>
      <c r="S106" s="44"/>
      <c r="T106" s="44">
        <f t="shared" si="37"/>
        <v>1393.75082505872</v>
      </c>
      <c r="U106" s="64">
        <f t="shared" si="44"/>
        <v>96.120746555773792</v>
      </c>
      <c r="V106" s="65">
        <v>3100</v>
      </c>
      <c r="W106" s="44">
        <f t="shared" si="25"/>
        <v>38.34327115463482</v>
      </c>
      <c r="X106" s="44">
        <f t="shared" si="29"/>
        <v>19.399999999999995</v>
      </c>
      <c r="Y106" s="44">
        <f t="shared" si="30"/>
        <v>325.46327115463475</v>
      </c>
      <c r="Z106" s="44"/>
      <c r="AA106" s="81">
        <f t="shared" si="21"/>
        <v>1193.146010165658</v>
      </c>
      <c r="AB106" s="44">
        <f t="shared" si="38"/>
        <v>-7.0999999999999943</v>
      </c>
      <c r="AC106" s="61">
        <f t="shared" si="39"/>
        <v>1088.0660101656581</v>
      </c>
      <c r="AD106" s="64">
        <f t="shared" si="40"/>
        <v>75.039035183838493</v>
      </c>
      <c r="AE106" s="81">
        <f t="shared" si="22"/>
        <v>844.75275578808714</v>
      </c>
      <c r="AF106" s="82">
        <f t="shared" si="41"/>
        <v>-7.0999999999999943</v>
      </c>
      <c r="AG106" s="44">
        <f t="shared" si="42"/>
        <v>739.67275578808722</v>
      </c>
      <c r="AH106" s="64">
        <f t="shared" si="45"/>
        <v>51.011914192281878</v>
      </c>
      <c r="AK106" s="21"/>
      <c r="AL106" s="87"/>
    </row>
    <row r="107" spans="2:38" s="3" customFormat="1" x14ac:dyDescent="0.3">
      <c r="B107" s="1"/>
      <c r="C107" s="1"/>
      <c r="D107" s="1"/>
      <c r="F107" s="1"/>
      <c r="I107" s="100">
        <v>41500</v>
      </c>
      <c r="J107" s="101">
        <f t="shared" si="31"/>
        <v>25.78696857096698</v>
      </c>
      <c r="K107" s="29">
        <f t="shared" si="32"/>
        <v>1031.3755949643953</v>
      </c>
      <c r="L107" s="109">
        <v>469</v>
      </c>
      <c r="M107" s="59">
        <f t="shared" si="33"/>
        <v>0.5</v>
      </c>
      <c r="N107" s="59">
        <f t="shared" si="43"/>
        <v>-6.5999999999999943</v>
      </c>
      <c r="O107" s="59">
        <f t="shared" si="34"/>
        <v>933.69559496439535</v>
      </c>
      <c r="P107" s="99">
        <f t="shared" si="35"/>
        <v>64.392799652716917</v>
      </c>
      <c r="Q107" s="103">
        <f t="shared" si="20"/>
        <v>1517.1092497545576</v>
      </c>
      <c r="R107" s="59">
        <f t="shared" si="36"/>
        <v>-6.5999999999999943</v>
      </c>
      <c r="S107" s="59"/>
      <c r="T107" s="59">
        <f t="shared" si="37"/>
        <v>1419.4292497545578</v>
      </c>
      <c r="U107" s="63">
        <f t="shared" si="44"/>
        <v>97.891672396866056</v>
      </c>
      <c r="V107" s="59">
        <v>3200</v>
      </c>
      <c r="W107" s="59">
        <f t="shared" si="25"/>
        <v>39.580150869300468</v>
      </c>
      <c r="X107" s="59">
        <f t="shared" si="29"/>
        <v>19.899999999999995</v>
      </c>
      <c r="Y107" s="59">
        <f t="shared" si="30"/>
        <v>334.10015086930036</v>
      </c>
      <c r="Z107" s="59"/>
      <c r="AA107" s="103">
        <f t="shared" si="21"/>
        <v>1207.6965712652391</v>
      </c>
      <c r="AB107" s="59">
        <f t="shared" si="38"/>
        <v>-6.5999999999999943</v>
      </c>
      <c r="AC107" s="99">
        <f t="shared" si="39"/>
        <v>1110.0165712652392</v>
      </c>
      <c r="AD107" s="63">
        <f t="shared" si="40"/>
        <v>76.552866983809608</v>
      </c>
      <c r="AE107" s="103">
        <f t="shared" si="22"/>
        <v>855.05461866355142</v>
      </c>
      <c r="AF107" s="104">
        <f t="shared" si="41"/>
        <v>-6.5999999999999943</v>
      </c>
      <c r="AG107" s="59">
        <f t="shared" si="42"/>
        <v>757.37461866355147</v>
      </c>
      <c r="AH107" s="63">
        <f t="shared" si="45"/>
        <v>52.232732321624241</v>
      </c>
      <c r="AI107" s="106"/>
      <c r="AJ107" s="106"/>
      <c r="AK107" s="107"/>
      <c r="AL107" s="108" t="s">
        <v>66</v>
      </c>
    </row>
    <row r="108" spans="2:38" s="3" customFormat="1" x14ac:dyDescent="0.3">
      <c r="B108" s="1"/>
      <c r="C108" s="1"/>
      <c r="D108" s="1"/>
      <c r="F108" s="1"/>
      <c r="I108" s="90">
        <v>42000</v>
      </c>
      <c r="J108" s="29">
        <f t="shared" si="31"/>
        <v>26.097654939291886</v>
      </c>
      <c r="K108" s="29">
        <f t="shared" si="32"/>
        <v>1043.8018069519183</v>
      </c>
      <c r="L108" s="97">
        <v>478</v>
      </c>
      <c r="M108" s="58">
        <f t="shared" si="33"/>
        <v>0.9</v>
      </c>
      <c r="N108" s="44">
        <f t="shared" si="43"/>
        <v>-5.699999999999994</v>
      </c>
      <c r="O108" s="44">
        <f t="shared" si="34"/>
        <v>959.44180695191835</v>
      </c>
      <c r="P108" s="54">
        <f t="shared" si="35"/>
        <v>66.168400479442639</v>
      </c>
      <c r="Q108" s="81">
        <f t="shared" ref="Q108:Q118" si="46">+($I108/1609.34)*5280/(100)*$D$47</f>
        <v>1535.3876744503959</v>
      </c>
      <c r="R108" s="44">
        <f t="shared" si="36"/>
        <v>-5.699999999999994</v>
      </c>
      <c r="S108" s="44"/>
      <c r="T108" s="44">
        <f t="shared" si="37"/>
        <v>1451.027674450396</v>
      </c>
      <c r="U108" s="64">
        <f t="shared" si="44"/>
        <v>100.07087410002731</v>
      </c>
      <c r="V108" s="65">
        <v>3300</v>
      </c>
      <c r="W108" s="44">
        <f t="shared" si="25"/>
        <v>40.817030583966101</v>
      </c>
      <c r="X108" s="44">
        <f t="shared" si="29"/>
        <v>20.799999999999994</v>
      </c>
      <c r="Y108" s="44">
        <f t="shared" si="30"/>
        <v>348.65703058396605</v>
      </c>
      <c r="Z108" s="44"/>
      <c r="AA108" s="81">
        <f t="shared" ref="AA108:AA118" si="47">+($I108/1609.34)*5280/(100)*$D$45</f>
        <v>1222.2471323648206</v>
      </c>
      <c r="AB108" s="44">
        <f t="shared" si="38"/>
        <v>-5.699999999999994</v>
      </c>
      <c r="AC108" s="61">
        <f t="shared" si="39"/>
        <v>1137.8871323648207</v>
      </c>
      <c r="AD108" s="64">
        <f t="shared" si="40"/>
        <v>78.474974645849699</v>
      </c>
      <c r="AE108" s="81">
        <f t="shared" ref="AE108:AE118" si="48">+($I108/1609.34)*5280/(100)*$D$44</f>
        <v>865.35648153901604</v>
      </c>
      <c r="AF108" s="82">
        <f t="shared" si="41"/>
        <v>-5.699999999999994</v>
      </c>
      <c r="AG108" s="44">
        <f t="shared" si="42"/>
        <v>780.99648153901614</v>
      </c>
      <c r="AH108" s="64">
        <f t="shared" si="45"/>
        <v>53.861826313035593</v>
      </c>
      <c r="AK108" s="21"/>
      <c r="AL108" s="87"/>
    </row>
    <row r="109" spans="2:38" s="3" customFormat="1" x14ac:dyDescent="0.3">
      <c r="B109" s="1"/>
      <c r="C109" s="1"/>
      <c r="D109" s="1"/>
      <c r="F109" s="1"/>
      <c r="I109" s="90">
        <v>42500</v>
      </c>
      <c r="J109" s="29">
        <f t="shared" si="31"/>
        <v>26.408341307616787</v>
      </c>
      <c r="K109" s="29">
        <f t="shared" si="32"/>
        <v>1056.228018939441</v>
      </c>
      <c r="L109" s="98">
        <v>486</v>
      </c>
      <c r="M109" s="58">
        <f t="shared" si="33"/>
        <v>0.8</v>
      </c>
      <c r="N109" s="44">
        <f t="shared" si="43"/>
        <v>-4.8999999999999941</v>
      </c>
      <c r="O109" s="44">
        <f t="shared" si="34"/>
        <v>983.7080189394411</v>
      </c>
      <c r="P109" s="54">
        <f t="shared" si="35"/>
        <v>67.841932340651113</v>
      </c>
      <c r="Q109" s="81">
        <f t="shared" si="46"/>
        <v>1553.6660991462338</v>
      </c>
      <c r="R109" s="44">
        <f t="shared" si="36"/>
        <v>-4.8999999999999941</v>
      </c>
      <c r="S109" s="44"/>
      <c r="T109" s="44">
        <f t="shared" si="37"/>
        <v>1481.1460991462338</v>
      </c>
      <c r="U109" s="64">
        <f t="shared" si="44"/>
        <v>102.1480068376713</v>
      </c>
      <c r="V109" s="65">
        <v>3400</v>
      </c>
      <c r="W109" s="44">
        <f t="shared" si="25"/>
        <v>42.053910298631742</v>
      </c>
      <c r="X109" s="44">
        <f t="shared" si="29"/>
        <v>21.599999999999994</v>
      </c>
      <c r="Y109" s="44">
        <f t="shared" si="30"/>
        <v>361.73391029863171</v>
      </c>
      <c r="Z109" s="44"/>
      <c r="AA109" s="81">
        <f t="shared" si="47"/>
        <v>1236.7976934644016</v>
      </c>
      <c r="AB109" s="44">
        <f t="shared" si="38"/>
        <v>-4.8999999999999941</v>
      </c>
      <c r="AC109" s="61">
        <f t="shared" si="39"/>
        <v>1164.2776934644016</v>
      </c>
      <c r="AD109" s="64">
        <f t="shared" si="40"/>
        <v>80.295013342372528</v>
      </c>
      <c r="AE109" s="81">
        <f t="shared" si="48"/>
        <v>875.65834441448044</v>
      </c>
      <c r="AF109" s="82">
        <f t="shared" si="41"/>
        <v>-4.8999999999999941</v>
      </c>
      <c r="AG109" s="44">
        <f t="shared" si="42"/>
        <v>803.13834441448057</v>
      </c>
      <c r="AH109" s="64">
        <f t="shared" si="45"/>
        <v>55.388851338929697</v>
      </c>
      <c r="AK109" s="21"/>
      <c r="AL109" s="87"/>
    </row>
    <row r="110" spans="2:38" s="3" customFormat="1" x14ac:dyDescent="0.3">
      <c r="B110" s="1"/>
      <c r="C110" s="1"/>
      <c r="D110" s="1"/>
      <c r="F110" s="1"/>
      <c r="I110" s="90">
        <v>43000</v>
      </c>
      <c r="J110" s="29">
        <f t="shared" si="31"/>
        <v>26.719027675941692</v>
      </c>
      <c r="K110" s="29">
        <f t="shared" si="32"/>
        <v>1068.6542309269639</v>
      </c>
      <c r="L110" s="97">
        <v>490</v>
      </c>
      <c r="M110" s="58">
        <f t="shared" si="33"/>
        <v>0.4</v>
      </c>
      <c r="N110" s="44">
        <f t="shared" si="43"/>
        <v>-4.4999999999999938</v>
      </c>
      <c r="O110" s="44">
        <f t="shared" si="34"/>
        <v>1002.054230926964</v>
      </c>
      <c r="P110" s="54">
        <f t="shared" si="35"/>
        <v>69.107188339790625</v>
      </c>
      <c r="Q110" s="81">
        <f t="shared" si="46"/>
        <v>1571.9445238420719</v>
      </c>
      <c r="R110" s="44">
        <f t="shared" si="36"/>
        <v>-4.4999999999999938</v>
      </c>
      <c r="S110" s="44"/>
      <c r="T110" s="44">
        <f t="shared" si="37"/>
        <v>1505.344523842072</v>
      </c>
      <c r="U110" s="64">
        <f t="shared" si="44"/>
        <v>103.81686371324635</v>
      </c>
      <c r="V110" s="65">
        <v>3500</v>
      </c>
      <c r="W110" s="44">
        <f t="shared" si="25"/>
        <v>43.290790013297382</v>
      </c>
      <c r="X110" s="44">
        <f t="shared" si="29"/>
        <v>21.999999999999993</v>
      </c>
      <c r="Y110" s="44">
        <f t="shared" si="30"/>
        <v>368.89079001329731</v>
      </c>
      <c r="Z110" s="44"/>
      <c r="AA110" s="81">
        <f t="shared" si="47"/>
        <v>1251.3482545639829</v>
      </c>
      <c r="AB110" s="44">
        <f t="shared" si="38"/>
        <v>-4.4999999999999938</v>
      </c>
      <c r="AC110" s="61">
        <f t="shared" si="39"/>
        <v>1184.748254563983</v>
      </c>
      <c r="AD110" s="64">
        <f t="shared" si="40"/>
        <v>81.706776176826409</v>
      </c>
      <c r="AE110" s="81">
        <f t="shared" si="48"/>
        <v>885.96020728994495</v>
      </c>
      <c r="AF110" s="82">
        <f t="shared" si="41"/>
        <v>-4.4999999999999938</v>
      </c>
      <c r="AG110" s="44">
        <f t="shared" si="42"/>
        <v>819.36020728994504</v>
      </c>
      <c r="AH110" s="64">
        <f t="shared" si="45"/>
        <v>56.507600502754833</v>
      </c>
      <c r="AK110" s="21"/>
      <c r="AL110" s="87"/>
    </row>
    <row r="111" spans="2:38" s="3" customFormat="1" x14ac:dyDescent="0.3">
      <c r="B111" s="1"/>
      <c r="C111" s="1"/>
      <c r="D111" s="1"/>
      <c r="F111" s="1"/>
      <c r="I111" s="90">
        <v>43500</v>
      </c>
      <c r="J111" s="29">
        <f t="shared" si="31"/>
        <v>27.029714044266594</v>
      </c>
      <c r="K111" s="29">
        <f t="shared" si="32"/>
        <v>1081.0804429144866</v>
      </c>
      <c r="L111" s="98">
        <v>508</v>
      </c>
      <c r="M111" s="58">
        <f t="shared" si="33"/>
        <v>1.8</v>
      </c>
      <c r="N111" s="44">
        <f t="shared" si="43"/>
        <v>-2.699999999999994</v>
      </c>
      <c r="O111" s="44">
        <f t="shared" si="34"/>
        <v>1041.1204429144868</v>
      </c>
      <c r="P111" s="54">
        <f t="shared" si="35"/>
        <v>71.801409856171503</v>
      </c>
      <c r="Q111" s="81">
        <f t="shared" si="46"/>
        <v>1590.2229485379098</v>
      </c>
      <c r="R111" s="44">
        <f t="shared" si="36"/>
        <v>-2.699999999999994</v>
      </c>
      <c r="S111" s="44"/>
      <c r="T111" s="44">
        <f t="shared" si="37"/>
        <v>1550.26294853791</v>
      </c>
      <c r="U111" s="64">
        <f t="shared" si="44"/>
        <v>106.91468610606276</v>
      </c>
      <c r="V111" s="65">
        <v>3600</v>
      </c>
      <c r="W111" s="44">
        <f t="shared" si="25"/>
        <v>44.527669727963016</v>
      </c>
      <c r="X111" s="44">
        <f t="shared" si="29"/>
        <v>23.799999999999994</v>
      </c>
      <c r="Y111" s="44">
        <f t="shared" si="30"/>
        <v>396.76766972796293</v>
      </c>
      <c r="Z111" s="44"/>
      <c r="AA111" s="81">
        <f t="shared" si="47"/>
        <v>1265.8988156635639</v>
      </c>
      <c r="AB111" s="44">
        <f t="shared" si="38"/>
        <v>-2.699999999999994</v>
      </c>
      <c r="AC111" s="61">
        <f t="shared" si="39"/>
        <v>1225.9388156635641</v>
      </c>
      <c r="AD111" s="64">
        <f t="shared" si="40"/>
        <v>84.547504528521671</v>
      </c>
      <c r="AE111" s="81">
        <f t="shared" si="48"/>
        <v>896.26207016540934</v>
      </c>
      <c r="AF111" s="82">
        <f t="shared" si="41"/>
        <v>-2.699999999999994</v>
      </c>
      <c r="AG111" s="44">
        <f t="shared" si="42"/>
        <v>856.30207016540942</v>
      </c>
      <c r="AH111" s="64">
        <f t="shared" si="45"/>
        <v>59.055315183821342</v>
      </c>
      <c r="AK111" s="21"/>
      <c r="AL111" s="87"/>
    </row>
    <row r="112" spans="2:38" s="3" customFormat="1" x14ac:dyDescent="0.3">
      <c r="B112" s="1"/>
      <c r="C112" s="1"/>
      <c r="D112" s="1"/>
      <c r="F112" s="1"/>
      <c r="I112" s="100">
        <v>44000</v>
      </c>
      <c r="J112" s="101">
        <f t="shared" si="31"/>
        <v>27.340400412591499</v>
      </c>
      <c r="K112" s="29">
        <f t="shared" si="32"/>
        <v>1093.5066549020098</v>
      </c>
      <c r="L112" s="102">
        <v>521</v>
      </c>
      <c r="M112" s="59">
        <f t="shared" si="33"/>
        <v>1.3</v>
      </c>
      <c r="N112" s="59">
        <f t="shared" si="43"/>
        <v>-1.3999999999999939</v>
      </c>
      <c r="O112" s="59">
        <f t="shared" si="34"/>
        <v>1072.78665490201</v>
      </c>
      <c r="P112" s="99">
        <f t="shared" si="35"/>
        <v>73.985286544966215</v>
      </c>
      <c r="Q112" s="103">
        <f t="shared" si="46"/>
        <v>1608.5013732337482</v>
      </c>
      <c r="R112" s="59">
        <f t="shared" si="36"/>
        <v>-1.3999999999999939</v>
      </c>
      <c r="S112" s="59"/>
      <c r="T112" s="59">
        <f t="shared" si="37"/>
        <v>1587.7813732337484</v>
      </c>
      <c r="U112" s="63">
        <f t="shared" si="44"/>
        <v>109.50216367129299</v>
      </c>
      <c r="V112" s="59">
        <v>3700</v>
      </c>
      <c r="W112" s="59">
        <f t="shared" si="25"/>
        <v>45.764549442628656</v>
      </c>
      <c r="X112" s="59">
        <f t="shared" si="29"/>
        <v>25.099999999999994</v>
      </c>
      <c r="Y112" s="59">
        <f t="shared" si="30"/>
        <v>417.24454944262862</v>
      </c>
      <c r="Z112" s="59"/>
      <c r="AA112" s="103">
        <f t="shared" si="47"/>
        <v>1280.4493767631454</v>
      </c>
      <c r="AB112" s="59">
        <f t="shared" si="38"/>
        <v>-1.3999999999999939</v>
      </c>
      <c r="AC112" s="99">
        <f t="shared" si="39"/>
        <v>1259.7293767631456</v>
      </c>
      <c r="AD112" s="63">
        <f t="shared" si="40"/>
        <v>86.877888052630738</v>
      </c>
      <c r="AE112" s="103">
        <f t="shared" si="48"/>
        <v>906.56393304087408</v>
      </c>
      <c r="AF112" s="104">
        <f t="shared" si="41"/>
        <v>-1.3999999999999939</v>
      </c>
      <c r="AG112" s="59">
        <f t="shared" si="42"/>
        <v>885.84393304087416</v>
      </c>
      <c r="AH112" s="63">
        <f t="shared" si="45"/>
        <v>61.092685037301663</v>
      </c>
      <c r="AI112" s="106"/>
      <c r="AJ112" s="106"/>
      <c r="AK112" s="107"/>
      <c r="AL112" s="108" t="s">
        <v>67</v>
      </c>
    </row>
    <row r="113" spans="2:38" s="3" customFormat="1" x14ac:dyDescent="0.3">
      <c r="B113" s="1"/>
      <c r="C113" s="1"/>
      <c r="D113" s="1"/>
      <c r="F113" s="1"/>
      <c r="I113" s="90">
        <v>44500</v>
      </c>
      <c r="J113" s="29">
        <f t="shared" si="31"/>
        <v>27.651086780916401</v>
      </c>
      <c r="K113" s="29">
        <f t="shared" si="32"/>
        <v>1105.9328668895325</v>
      </c>
      <c r="L113" s="98">
        <v>531</v>
      </c>
      <c r="M113" s="58">
        <f t="shared" si="33"/>
        <v>1</v>
      </c>
      <c r="N113" s="44">
        <f t="shared" si="43"/>
        <v>-0.39999999999999392</v>
      </c>
      <c r="O113" s="44">
        <f t="shared" si="34"/>
        <v>1100.0128668895327</v>
      </c>
      <c r="P113" s="54">
        <f t="shared" si="35"/>
        <v>75.862956337209155</v>
      </c>
      <c r="Q113" s="81">
        <f t="shared" si="46"/>
        <v>1626.779797929586</v>
      </c>
      <c r="R113" s="44">
        <f t="shared" si="36"/>
        <v>-0.39999999999999392</v>
      </c>
      <c r="S113" s="44"/>
      <c r="T113" s="44">
        <f t="shared" si="37"/>
        <v>1620.8597979295862</v>
      </c>
      <c r="U113" s="64">
        <f t="shared" si="44"/>
        <v>111.78343433997146</v>
      </c>
      <c r="V113" s="65">
        <v>3800</v>
      </c>
      <c r="W113" s="44">
        <f t="shared" si="25"/>
        <v>47.001429157294297</v>
      </c>
      <c r="X113" s="44">
        <f t="shared" si="29"/>
        <v>26.099999999999994</v>
      </c>
      <c r="Y113" s="44">
        <f t="shared" si="30"/>
        <v>433.28142915729421</v>
      </c>
      <c r="Z113" s="44"/>
      <c r="AA113" s="81">
        <f t="shared" si="47"/>
        <v>1294.9999378627265</v>
      </c>
      <c r="AB113" s="44">
        <f t="shared" si="38"/>
        <v>-0.39999999999999392</v>
      </c>
      <c r="AC113" s="61">
        <f t="shared" si="39"/>
        <v>1289.0799378627266</v>
      </c>
      <c r="AD113" s="64">
        <f t="shared" si="40"/>
        <v>88.902064680188047</v>
      </c>
      <c r="AE113" s="81">
        <f t="shared" si="48"/>
        <v>916.86579591633847</v>
      </c>
      <c r="AF113" s="82">
        <f t="shared" si="41"/>
        <v>-0.39999999999999392</v>
      </c>
      <c r="AG113" s="44">
        <f t="shared" si="42"/>
        <v>910.94579591633851</v>
      </c>
      <c r="AH113" s="64">
        <f t="shared" si="45"/>
        <v>62.823847994230242</v>
      </c>
      <c r="AK113" s="21"/>
      <c r="AL113" s="87"/>
    </row>
    <row r="114" spans="2:38" s="3" customFormat="1" x14ac:dyDescent="0.3">
      <c r="B114" s="1"/>
      <c r="C114" s="1"/>
      <c r="D114" s="1"/>
      <c r="F114" s="1"/>
      <c r="I114" s="90">
        <v>45000</v>
      </c>
      <c r="J114" s="29">
        <f t="shared" si="31"/>
        <v>27.961773149241306</v>
      </c>
      <c r="K114" s="29">
        <f t="shared" si="32"/>
        <v>1118.3590788770555</v>
      </c>
      <c r="L114" s="97">
        <v>545</v>
      </c>
      <c r="M114" s="58">
        <f t="shared" si="33"/>
        <v>1.4</v>
      </c>
      <c r="N114" s="44">
        <f t="shared" si="43"/>
        <v>1.000000000000006</v>
      </c>
      <c r="O114" s="44">
        <f t="shared" si="34"/>
        <v>1133.1590788770557</v>
      </c>
      <c r="P114" s="54">
        <f t="shared" si="35"/>
        <v>78.148901991521086</v>
      </c>
      <c r="Q114" s="81">
        <f t="shared" si="46"/>
        <v>1645.0582226254242</v>
      </c>
      <c r="R114" s="44">
        <f t="shared" si="36"/>
        <v>1.000000000000006</v>
      </c>
      <c r="S114" s="44"/>
      <c r="T114" s="44">
        <f t="shared" si="37"/>
        <v>1659.8582226254243</v>
      </c>
      <c r="U114" s="64">
        <f t="shared" si="44"/>
        <v>114.47298087071891</v>
      </c>
      <c r="V114" s="65">
        <v>3900</v>
      </c>
      <c r="W114" s="44">
        <f t="shared" si="25"/>
        <v>48.238308871959944</v>
      </c>
      <c r="X114" s="44">
        <f t="shared" si="29"/>
        <v>27.499999999999993</v>
      </c>
      <c r="Y114" s="44">
        <f t="shared" si="30"/>
        <v>455.23830887195982</v>
      </c>
      <c r="Z114" s="44"/>
      <c r="AA114" s="81">
        <f t="shared" si="47"/>
        <v>1309.5504989623078</v>
      </c>
      <c r="AB114" s="44">
        <f t="shared" si="38"/>
        <v>1.000000000000006</v>
      </c>
      <c r="AC114" s="61">
        <f t="shared" si="39"/>
        <v>1324.3504989623079</v>
      </c>
      <c r="AD114" s="64">
        <f t="shared" si="40"/>
        <v>91.334517169814347</v>
      </c>
      <c r="AE114" s="81">
        <f t="shared" si="48"/>
        <v>927.16765879180298</v>
      </c>
      <c r="AF114" s="82">
        <f t="shared" si="41"/>
        <v>1.000000000000006</v>
      </c>
      <c r="AG114" s="44">
        <f t="shared" si="42"/>
        <v>941.96765879180305</v>
      </c>
      <c r="AH114" s="64">
        <f t="shared" si="45"/>
        <v>64.963286813227796</v>
      </c>
      <c r="AK114" s="21"/>
      <c r="AL114" s="87"/>
    </row>
    <row r="115" spans="2:38" s="3" customFormat="1" x14ac:dyDescent="0.3">
      <c r="B115" s="1"/>
      <c r="C115" s="1"/>
      <c r="D115" s="1"/>
      <c r="F115" s="1"/>
      <c r="I115" s="90">
        <v>45500</v>
      </c>
      <c r="J115" s="29">
        <f t="shared" si="31"/>
        <v>28.272459517566208</v>
      </c>
      <c r="K115" s="29">
        <f t="shared" si="32"/>
        <v>1130.7852908645782</v>
      </c>
      <c r="L115" s="98">
        <v>557</v>
      </c>
      <c r="M115" s="58">
        <f t="shared" si="33"/>
        <v>1.2</v>
      </c>
      <c r="N115" s="44">
        <f t="shared" si="43"/>
        <v>2.200000000000006</v>
      </c>
      <c r="O115" s="44">
        <f t="shared" si="34"/>
        <v>1163.3452908645784</v>
      </c>
      <c r="P115" s="54">
        <f t="shared" si="35"/>
        <v>80.230709714798508</v>
      </c>
      <c r="Q115" s="81">
        <f t="shared" si="46"/>
        <v>1663.336647321262</v>
      </c>
      <c r="R115" s="44">
        <f t="shared" si="36"/>
        <v>2.200000000000006</v>
      </c>
      <c r="S115" s="44"/>
      <c r="T115" s="44">
        <f t="shared" si="37"/>
        <v>1695.8966473212622</v>
      </c>
      <c r="U115" s="64">
        <f t="shared" si="44"/>
        <v>116.95838947043188</v>
      </c>
      <c r="V115" s="65">
        <v>4000</v>
      </c>
      <c r="W115" s="44">
        <f t="shared" si="25"/>
        <v>49.475188586625578</v>
      </c>
      <c r="X115" s="44">
        <f t="shared" si="29"/>
        <v>28.699999999999992</v>
      </c>
      <c r="Y115" s="44">
        <f t="shared" si="30"/>
        <v>474.23518858662544</v>
      </c>
      <c r="Z115" s="44"/>
      <c r="AA115" s="81">
        <f t="shared" si="47"/>
        <v>1324.1010600618888</v>
      </c>
      <c r="AB115" s="44">
        <f t="shared" si="38"/>
        <v>2.200000000000006</v>
      </c>
      <c r="AC115" s="61">
        <f t="shared" si="39"/>
        <v>1356.661060061889</v>
      </c>
      <c r="AD115" s="64">
        <f t="shared" si="40"/>
        <v>93.562831728406138</v>
      </c>
      <c r="AE115" s="81">
        <f t="shared" si="48"/>
        <v>937.46952166726737</v>
      </c>
      <c r="AF115" s="82">
        <f t="shared" si="41"/>
        <v>2.200000000000006</v>
      </c>
      <c r="AG115" s="44">
        <f t="shared" si="42"/>
        <v>970.02952166726743</v>
      </c>
      <c r="AH115" s="64">
        <f t="shared" si="45"/>
        <v>66.898587701190863</v>
      </c>
      <c r="AK115" s="21"/>
      <c r="AL115" s="87"/>
    </row>
    <row r="116" spans="2:38" s="3" customFormat="1" x14ac:dyDescent="0.3">
      <c r="B116" s="1"/>
      <c r="C116" s="1"/>
      <c r="D116" s="1"/>
      <c r="F116" s="1"/>
      <c r="I116" s="90">
        <v>46000</v>
      </c>
      <c r="J116" s="29">
        <f t="shared" si="31"/>
        <v>28.583145885891113</v>
      </c>
      <c r="K116" s="29">
        <f t="shared" si="32"/>
        <v>1143.2115028521011</v>
      </c>
      <c r="L116" s="97">
        <v>567</v>
      </c>
      <c r="M116" s="58">
        <f t="shared" si="33"/>
        <v>1</v>
      </c>
      <c r="N116" s="44">
        <f t="shared" si="43"/>
        <v>3.200000000000006</v>
      </c>
      <c r="O116" s="44">
        <f t="shared" si="34"/>
        <v>1190.5715028521013</v>
      </c>
      <c r="P116" s="54">
        <f t="shared" si="35"/>
        <v>82.108379507041462</v>
      </c>
      <c r="Q116" s="81">
        <f t="shared" si="46"/>
        <v>1681.6150720171004</v>
      </c>
      <c r="R116" s="44">
        <f t="shared" si="36"/>
        <v>3.200000000000006</v>
      </c>
      <c r="S116" s="44"/>
      <c r="T116" s="44">
        <f t="shared" si="37"/>
        <v>1728.9750720171005</v>
      </c>
      <c r="U116" s="64">
        <f t="shared" si="44"/>
        <v>119.23966013911038</v>
      </c>
      <c r="V116" s="65">
        <v>4100</v>
      </c>
      <c r="W116" s="44">
        <f t="shared" si="25"/>
        <v>50.712068301291218</v>
      </c>
      <c r="X116" s="44">
        <f t="shared" si="29"/>
        <v>29.699999999999992</v>
      </c>
      <c r="Y116" s="44">
        <f t="shared" si="30"/>
        <v>490.27206830129109</v>
      </c>
      <c r="Z116" s="44"/>
      <c r="AA116" s="81">
        <f t="shared" si="47"/>
        <v>1338.6516211614703</v>
      </c>
      <c r="AB116" s="44">
        <f t="shared" si="38"/>
        <v>3.200000000000006</v>
      </c>
      <c r="AC116" s="61">
        <f t="shared" si="39"/>
        <v>1386.0116211614704</v>
      </c>
      <c r="AD116" s="64">
        <f t="shared" si="40"/>
        <v>95.587008355963476</v>
      </c>
      <c r="AE116" s="81">
        <f t="shared" si="48"/>
        <v>947.77138454273199</v>
      </c>
      <c r="AF116" s="82">
        <f t="shared" si="41"/>
        <v>3.200000000000006</v>
      </c>
      <c r="AG116" s="44">
        <f t="shared" si="42"/>
        <v>995.13138454273212</v>
      </c>
      <c r="AH116" s="64">
        <f t="shared" si="45"/>
        <v>68.629750658119463</v>
      </c>
      <c r="AK116" s="21"/>
      <c r="AL116" s="87"/>
    </row>
    <row r="117" spans="2:38" s="3" customFormat="1" x14ac:dyDescent="0.3">
      <c r="B117" s="1"/>
      <c r="C117" s="1"/>
      <c r="D117" s="1"/>
      <c r="F117" s="1"/>
      <c r="I117" s="90">
        <v>46500</v>
      </c>
      <c r="J117" s="29">
        <f t="shared" si="31"/>
        <v>28.893832254216015</v>
      </c>
      <c r="K117" s="29">
        <f t="shared" si="32"/>
        <v>1155.6377148396236</v>
      </c>
      <c r="L117" s="98">
        <v>579</v>
      </c>
      <c r="M117" s="58">
        <f t="shared" si="33"/>
        <v>1.2</v>
      </c>
      <c r="N117" s="44">
        <f t="shared" si="43"/>
        <v>4.4000000000000057</v>
      </c>
      <c r="O117" s="44">
        <f t="shared" si="34"/>
        <v>1220.7577148396238</v>
      </c>
      <c r="P117" s="54">
        <f t="shared" si="35"/>
        <v>84.190187230318884</v>
      </c>
      <c r="Q117" s="81">
        <f t="shared" si="46"/>
        <v>1699.893496712938</v>
      </c>
      <c r="R117" s="44">
        <f t="shared" si="36"/>
        <v>4.4000000000000057</v>
      </c>
      <c r="S117" s="44"/>
      <c r="T117" s="44">
        <f t="shared" si="37"/>
        <v>1765.0134967129381</v>
      </c>
      <c r="U117" s="64">
        <f t="shared" si="44"/>
        <v>121.72506873882332</v>
      </c>
      <c r="V117" s="65">
        <v>4200</v>
      </c>
      <c r="W117" s="44">
        <f t="shared" si="25"/>
        <v>51.948948015956866</v>
      </c>
      <c r="X117" s="44">
        <f t="shared" si="29"/>
        <v>30.899999999999991</v>
      </c>
      <c r="Y117" s="44">
        <f t="shared" si="30"/>
        <v>509.26894801595677</v>
      </c>
      <c r="Z117" s="44"/>
      <c r="AA117" s="81">
        <f t="shared" si="47"/>
        <v>1353.2021822610511</v>
      </c>
      <c r="AB117" s="44">
        <f t="shared" si="38"/>
        <v>4.4000000000000057</v>
      </c>
      <c r="AC117" s="61">
        <f t="shared" si="39"/>
        <v>1418.3221822610512</v>
      </c>
      <c r="AD117" s="64">
        <f t="shared" si="40"/>
        <v>97.815322914555253</v>
      </c>
      <c r="AE117" s="81">
        <f t="shared" si="48"/>
        <v>958.07324741819627</v>
      </c>
      <c r="AF117" s="82">
        <f t="shared" si="41"/>
        <v>4.4000000000000057</v>
      </c>
      <c r="AG117" s="44">
        <f t="shared" si="42"/>
        <v>1023.1932474181964</v>
      </c>
      <c r="AH117" s="64">
        <f t="shared" si="45"/>
        <v>70.565051546082515</v>
      </c>
      <c r="AK117" s="21"/>
      <c r="AL117" s="87"/>
    </row>
    <row r="118" spans="2:38" s="3" customFormat="1" x14ac:dyDescent="0.3">
      <c r="B118" s="1"/>
      <c r="C118" s="1"/>
      <c r="D118" s="1"/>
      <c r="F118" s="1"/>
      <c r="I118" s="90">
        <v>46700</v>
      </c>
      <c r="J118" s="29">
        <f t="shared" si="31"/>
        <v>29.018106801545976</v>
      </c>
      <c r="K118" s="29">
        <f t="shared" si="32"/>
        <v>1160.6081996346329</v>
      </c>
      <c r="L118" s="97">
        <v>586</v>
      </c>
      <c r="M118" s="58">
        <f t="shared" si="33"/>
        <v>0.7</v>
      </c>
      <c r="N118" s="44">
        <f t="shared" si="43"/>
        <v>5.1000000000000059</v>
      </c>
      <c r="O118" s="44">
        <f t="shared" si="34"/>
        <v>1236.0881996346329</v>
      </c>
      <c r="P118" s="54">
        <f t="shared" si="35"/>
        <v>85.247462043767783</v>
      </c>
      <c r="Q118" s="81">
        <f t="shared" si="46"/>
        <v>1707.2048665912732</v>
      </c>
      <c r="R118" s="44">
        <f t="shared" si="36"/>
        <v>5.1000000000000059</v>
      </c>
      <c r="S118" s="44"/>
      <c r="T118" s="44">
        <f t="shared" si="37"/>
        <v>1782.6848665912732</v>
      </c>
      <c r="U118" s="64">
        <f t="shared" si="44"/>
        <v>122.94378390284643</v>
      </c>
      <c r="V118" s="65">
        <v>4300</v>
      </c>
      <c r="W118" s="44">
        <f t="shared" si="25"/>
        <v>53.185827730622492</v>
      </c>
      <c r="X118" s="44">
        <f t="shared" si="29"/>
        <v>31.599999999999991</v>
      </c>
      <c r="Y118" s="44">
        <f t="shared" si="30"/>
        <v>520.86582773062241</v>
      </c>
      <c r="Z118" s="44"/>
      <c r="AA118" s="81">
        <f t="shared" si="47"/>
        <v>1359.0224067008835</v>
      </c>
      <c r="AB118" s="44">
        <f t="shared" si="38"/>
        <v>5.1000000000000059</v>
      </c>
      <c r="AC118" s="61">
        <f t="shared" si="39"/>
        <v>1434.5024067008835</v>
      </c>
      <c r="AD118" s="64">
        <f t="shared" si="40"/>
        <v>98.931200462129894</v>
      </c>
      <c r="AE118" s="81">
        <f t="shared" si="48"/>
        <v>962.19399256838199</v>
      </c>
      <c r="AF118" s="82">
        <f t="shared" si="41"/>
        <v>5.1000000000000059</v>
      </c>
      <c r="AG118" s="44">
        <f t="shared" si="42"/>
        <v>1037.6739925683821</v>
      </c>
      <c r="AH118" s="64">
        <f t="shared" si="45"/>
        <v>71.563723625405657</v>
      </c>
      <c r="AK118" s="21"/>
      <c r="AL118" s="87"/>
    </row>
    <row r="119" spans="2:38" x14ac:dyDescent="0.3">
      <c r="I119" s="89"/>
      <c r="J119" s="15"/>
      <c r="K119" s="29"/>
      <c r="L119" s="89"/>
      <c r="M119" s="58"/>
      <c r="N119" s="44"/>
      <c r="O119" s="44"/>
      <c r="P119" s="65"/>
    </row>
    <row r="120" spans="2:38" x14ac:dyDescent="0.3">
      <c r="I120" s="89"/>
      <c r="J120" s="15"/>
      <c r="K120" s="29"/>
      <c r="L120" s="89"/>
      <c r="M120" s="58"/>
      <c r="N120" s="44"/>
      <c r="O120" s="44"/>
      <c r="P120" s="65"/>
    </row>
    <row r="121" spans="2:38" x14ac:dyDescent="0.3">
      <c r="I121" s="89"/>
      <c r="J121" s="15"/>
      <c r="K121" s="29"/>
      <c r="L121" s="89"/>
      <c r="M121" s="58"/>
      <c r="N121" s="44"/>
      <c r="O121" s="44"/>
      <c r="P121" s="65"/>
    </row>
    <row r="122" spans="2:38" x14ac:dyDescent="0.3">
      <c r="I122" s="89"/>
      <c r="J122" s="15"/>
      <c r="K122" s="29"/>
      <c r="L122" s="89"/>
      <c r="M122" s="58"/>
      <c r="N122" s="44"/>
      <c r="O122" s="44"/>
      <c r="P122" s="65"/>
    </row>
    <row r="123" spans="2:38" x14ac:dyDescent="0.3">
      <c r="I123" s="89"/>
      <c r="J123" s="15"/>
      <c r="K123" s="29"/>
      <c r="L123" s="89"/>
      <c r="M123" s="58"/>
      <c r="N123" s="44"/>
      <c r="O123" s="44"/>
      <c r="P123" s="65"/>
    </row>
    <row r="124" spans="2:38" x14ac:dyDescent="0.3">
      <c r="I124" s="89"/>
      <c r="J124" s="15"/>
      <c r="K124" s="29"/>
      <c r="L124" s="89"/>
      <c r="M124" s="58"/>
      <c r="N124" s="44"/>
      <c r="O124" s="44"/>
      <c r="P124" s="65"/>
    </row>
    <row r="125" spans="2:38" x14ac:dyDescent="0.3">
      <c r="I125" s="89"/>
      <c r="J125" s="15"/>
      <c r="K125" s="29"/>
      <c r="L125" s="89"/>
      <c r="M125" s="58"/>
      <c r="N125" s="44"/>
      <c r="O125" s="44"/>
      <c r="P125" s="65"/>
    </row>
    <row r="126" spans="2:38" x14ac:dyDescent="0.3">
      <c r="I126" s="89"/>
      <c r="J126" s="15"/>
      <c r="K126" s="29"/>
      <c r="L126" s="89"/>
      <c r="M126" s="58"/>
      <c r="N126" s="44"/>
      <c r="O126" s="44"/>
      <c r="P126" s="65"/>
    </row>
    <row r="127" spans="2:38" x14ac:dyDescent="0.3">
      <c r="I127" s="89"/>
      <c r="J127" s="15"/>
      <c r="K127" s="29"/>
      <c r="L127" s="89"/>
      <c r="M127" s="58"/>
      <c r="N127" s="44"/>
      <c r="O127" s="44"/>
      <c r="P127" s="65"/>
    </row>
    <row r="128" spans="2:38" x14ac:dyDescent="0.3">
      <c r="I128" s="89"/>
      <c r="J128" s="15"/>
      <c r="K128" s="29"/>
      <c r="L128" s="89"/>
      <c r="M128" s="58"/>
      <c r="N128" s="44"/>
      <c r="O128" s="44"/>
      <c r="P128" s="65"/>
    </row>
    <row r="129" spans="9:16" x14ac:dyDescent="0.3">
      <c r="I129" s="89"/>
      <c r="J129" s="15"/>
      <c r="K129" s="29"/>
      <c r="L129" s="89"/>
      <c r="M129" s="58"/>
      <c r="N129" s="44"/>
      <c r="O129" s="44"/>
      <c r="P129" s="65"/>
    </row>
    <row r="130" spans="9:16" x14ac:dyDescent="0.3">
      <c r="I130" s="89"/>
      <c r="J130" s="15"/>
      <c r="K130" s="29"/>
      <c r="L130" s="89"/>
      <c r="M130" s="58"/>
      <c r="N130" s="44"/>
      <c r="O130" s="44"/>
      <c r="P130" s="65"/>
    </row>
    <row r="131" spans="9:16" x14ac:dyDescent="0.3">
      <c r="I131" s="89"/>
      <c r="J131" s="15"/>
      <c r="K131" s="29"/>
      <c r="L131" s="89"/>
      <c r="M131" s="58"/>
      <c r="N131" s="44"/>
      <c r="O131" s="44"/>
      <c r="P131" s="65"/>
    </row>
    <row r="132" spans="9:16" x14ac:dyDescent="0.3">
      <c r="I132" s="89"/>
      <c r="J132" s="15"/>
      <c r="K132" s="29"/>
      <c r="L132" s="89"/>
      <c r="M132" s="58"/>
      <c r="N132" s="44"/>
      <c r="O132" s="44"/>
      <c r="P132" s="65"/>
    </row>
    <row r="133" spans="9:16" x14ac:dyDescent="0.3">
      <c r="I133" s="89"/>
      <c r="J133" s="15"/>
      <c r="K133" s="29"/>
      <c r="L133" s="89"/>
      <c r="M133" s="58"/>
      <c r="N133" s="44"/>
      <c r="O133" s="44"/>
      <c r="P133" s="65"/>
    </row>
    <row r="134" spans="9:16" x14ac:dyDescent="0.3">
      <c r="I134" s="89"/>
      <c r="J134" s="15"/>
      <c r="K134" s="29"/>
      <c r="L134" s="89"/>
      <c r="M134" s="58"/>
      <c r="N134" s="44"/>
      <c r="O134" s="44"/>
      <c r="P134" s="65"/>
    </row>
    <row r="135" spans="9:16" x14ac:dyDescent="0.3">
      <c r="I135" s="89"/>
      <c r="J135" s="15"/>
      <c r="K135" s="29"/>
      <c r="L135" s="89"/>
      <c r="M135" s="58"/>
      <c r="N135" s="44"/>
      <c r="O135" s="44"/>
      <c r="P135" s="65"/>
    </row>
    <row r="136" spans="9:16" x14ac:dyDescent="0.3">
      <c r="I136" s="89"/>
      <c r="J136" s="15"/>
      <c r="K136" s="29"/>
      <c r="L136" s="89"/>
      <c r="M136" s="58"/>
      <c r="N136" s="44"/>
      <c r="O136" s="44"/>
      <c r="P136" s="65"/>
    </row>
    <row r="137" spans="9:16" x14ac:dyDescent="0.3">
      <c r="I137" s="89"/>
      <c r="J137" s="15"/>
      <c r="K137" s="29"/>
      <c r="L137" s="89"/>
      <c r="M137" s="58"/>
      <c r="N137" s="44"/>
      <c r="O137" s="44"/>
      <c r="P137" s="65"/>
    </row>
    <row r="138" spans="9:16" x14ac:dyDescent="0.3">
      <c r="I138" s="89"/>
      <c r="J138" s="15"/>
      <c r="K138" s="29"/>
      <c r="L138" s="89"/>
      <c r="M138" s="58"/>
      <c r="N138" s="44"/>
      <c r="O138" s="44"/>
      <c r="P138" s="65"/>
    </row>
    <row r="139" spans="9:16" x14ac:dyDescent="0.3">
      <c r="I139" s="89"/>
      <c r="J139" s="15"/>
      <c r="K139" s="29"/>
      <c r="L139" s="89"/>
      <c r="M139" s="58"/>
      <c r="N139" s="44"/>
      <c r="O139" s="44"/>
      <c r="P139" s="65"/>
    </row>
    <row r="140" spans="9:16" x14ac:dyDescent="0.3">
      <c r="I140" s="89"/>
      <c r="J140" s="15"/>
      <c r="K140" s="29"/>
      <c r="L140" s="89"/>
      <c r="M140" s="58"/>
      <c r="N140" s="44"/>
      <c r="O140" s="44"/>
      <c r="P140" s="44"/>
    </row>
    <row r="141" spans="9:16" x14ac:dyDescent="0.3">
      <c r="I141" s="89"/>
      <c r="J141" s="15"/>
      <c r="K141" s="29"/>
      <c r="L141" s="89"/>
      <c r="M141" s="58"/>
      <c r="N141" s="44"/>
      <c r="O141" s="44"/>
      <c r="P141" s="65"/>
    </row>
    <row r="142" spans="9:16" x14ac:dyDescent="0.3">
      <c r="I142" s="89"/>
      <c r="J142" s="15"/>
      <c r="K142" s="29"/>
      <c r="L142" s="89"/>
      <c r="M142" s="58"/>
      <c r="N142" s="44"/>
      <c r="O142" s="44"/>
      <c r="P142" s="65"/>
    </row>
    <row r="143" spans="9:16" x14ac:dyDescent="0.3">
      <c r="I143" s="89"/>
      <c r="J143" s="15"/>
      <c r="K143" s="29"/>
      <c r="L143" s="89"/>
      <c r="M143" s="58"/>
      <c r="N143" s="44"/>
      <c r="O143" s="44"/>
      <c r="P143" s="65"/>
    </row>
    <row r="144" spans="9:16" x14ac:dyDescent="0.3">
      <c r="I144" s="89"/>
      <c r="J144" s="15"/>
      <c r="K144" s="29"/>
      <c r="L144" s="89"/>
      <c r="M144" s="58"/>
      <c r="N144" s="44"/>
      <c r="O144" s="44"/>
      <c r="P144" s="65"/>
    </row>
    <row r="145" spans="9:16" x14ac:dyDescent="0.3">
      <c r="I145" s="89"/>
      <c r="J145" s="15"/>
      <c r="K145" s="29"/>
      <c r="L145" s="89"/>
      <c r="M145" s="58"/>
      <c r="N145" s="44"/>
      <c r="O145" s="44"/>
      <c r="P145" s="65"/>
    </row>
    <row r="146" spans="9:16" x14ac:dyDescent="0.3">
      <c r="I146" s="89"/>
      <c r="J146" s="15"/>
      <c r="K146" s="29"/>
      <c r="L146" s="89"/>
      <c r="M146" s="58"/>
      <c r="N146" s="44"/>
      <c r="O146" s="44"/>
      <c r="P146" s="65"/>
    </row>
    <row r="147" spans="9:16" x14ac:dyDescent="0.3">
      <c r="I147" s="89"/>
      <c r="J147" s="15"/>
      <c r="K147" s="29"/>
      <c r="L147" s="89"/>
      <c r="M147" s="58"/>
      <c r="N147" s="44"/>
      <c r="O147" s="44"/>
      <c r="P147" s="65"/>
    </row>
    <row r="148" spans="9:16" x14ac:dyDescent="0.3">
      <c r="I148" s="89"/>
      <c r="J148" s="15"/>
      <c r="K148" s="29"/>
      <c r="L148" s="89"/>
      <c r="M148" s="58"/>
      <c r="N148" s="44"/>
      <c r="O148" s="44"/>
      <c r="P148" s="65"/>
    </row>
    <row r="149" spans="9:16" x14ac:dyDescent="0.3">
      <c r="I149" s="89"/>
      <c r="J149" s="15"/>
      <c r="K149" s="29"/>
      <c r="L149" s="89"/>
      <c r="M149" s="58"/>
      <c r="N149" s="44"/>
      <c r="O149" s="44"/>
      <c r="P149" s="65"/>
    </row>
    <row r="150" spans="9:16" x14ac:dyDescent="0.3">
      <c r="I150" s="89"/>
      <c r="J150" s="15"/>
      <c r="K150" s="29"/>
      <c r="L150" s="89"/>
      <c r="M150" s="58"/>
      <c r="N150" s="44"/>
      <c r="O150" s="44"/>
      <c r="P150" s="65"/>
    </row>
    <row r="151" spans="9:16" x14ac:dyDescent="0.3">
      <c r="I151" s="89"/>
      <c r="J151" s="15"/>
      <c r="K151" s="29"/>
      <c r="L151" s="89"/>
      <c r="M151" s="58"/>
      <c r="N151" s="44"/>
      <c r="O151" s="44"/>
      <c r="P151" s="65"/>
    </row>
    <row r="152" spans="9:16" x14ac:dyDescent="0.3">
      <c r="I152" s="89"/>
      <c r="J152" s="15"/>
      <c r="K152" s="29"/>
      <c r="L152" s="89"/>
      <c r="M152" s="58"/>
      <c r="N152" s="44"/>
      <c r="O152" s="44"/>
      <c r="P152" s="65"/>
    </row>
    <row r="153" spans="9:16" x14ac:dyDescent="0.3">
      <c r="I153" s="89"/>
      <c r="J153" s="15"/>
      <c r="K153" s="29"/>
      <c r="L153" s="89"/>
      <c r="M153" s="58"/>
      <c r="N153" s="44"/>
      <c r="O153" s="44"/>
      <c r="P153" s="65"/>
    </row>
    <row r="154" spans="9:16" x14ac:dyDescent="0.3">
      <c r="I154" s="89"/>
      <c r="J154" s="15"/>
      <c r="K154" s="29"/>
      <c r="L154" s="89"/>
      <c r="M154" s="58"/>
      <c r="N154" s="44"/>
      <c r="O154" s="44"/>
      <c r="P154" s="65"/>
    </row>
    <row r="155" spans="9:16" x14ac:dyDescent="0.3">
      <c r="I155" s="89"/>
      <c r="J155" s="15"/>
      <c r="K155" s="29"/>
      <c r="L155" s="89"/>
      <c r="M155" s="58"/>
      <c r="N155" s="44"/>
      <c r="O155" s="44"/>
      <c r="P155" s="65"/>
    </row>
    <row r="156" spans="9:16" x14ac:dyDescent="0.3">
      <c r="I156" s="89"/>
      <c r="J156" s="15"/>
      <c r="K156" s="29"/>
      <c r="L156" s="89"/>
      <c r="M156" s="58"/>
      <c r="N156" s="44"/>
      <c r="O156" s="44"/>
      <c r="P156" s="65"/>
    </row>
    <row r="157" spans="9:16" x14ac:dyDescent="0.3">
      <c r="I157" s="89"/>
      <c r="J157" s="15"/>
      <c r="K157" s="29"/>
      <c r="L157" s="89"/>
      <c r="M157" s="58"/>
      <c r="N157" s="44"/>
      <c r="O157" s="44"/>
      <c r="P157" s="65"/>
    </row>
    <row r="158" spans="9:16" x14ac:dyDescent="0.3">
      <c r="I158" s="89"/>
      <c r="J158" s="15"/>
      <c r="K158" s="29"/>
      <c r="L158" s="89"/>
      <c r="M158" s="58"/>
      <c r="N158" s="44"/>
      <c r="O158" s="44"/>
      <c r="P158" s="65"/>
    </row>
    <row r="159" spans="9:16" x14ac:dyDescent="0.3">
      <c r="I159" s="89"/>
      <c r="J159" s="15"/>
      <c r="K159" s="29"/>
      <c r="L159" s="89"/>
      <c r="M159" s="58"/>
      <c r="N159" s="44"/>
      <c r="O159" s="44"/>
      <c r="P159" s="65"/>
    </row>
    <row r="160" spans="9:16" x14ac:dyDescent="0.3">
      <c r="I160" s="89"/>
      <c r="J160" s="15"/>
      <c r="K160" s="29"/>
      <c r="L160" s="89"/>
      <c r="M160" s="58"/>
      <c r="N160" s="44"/>
      <c r="O160" s="44"/>
      <c r="P160" s="65"/>
    </row>
    <row r="161" spans="9:16" x14ac:dyDescent="0.3">
      <c r="I161" s="89"/>
      <c r="J161" s="15"/>
      <c r="K161" s="29"/>
      <c r="L161" s="89"/>
      <c r="M161" s="58"/>
      <c r="N161" s="44"/>
      <c r="O161" s="44"/>
      <c r="P161" s="65"/>
    </row>
    <row r="162" spans="9:16" x14ac:dyDescent="0.3">
      <c r="I162" s="89"/>
      <c r="J162" s="15"/>
      <c r="K162" s="29"/>
      <c r="L162" s="89"/>
      <c r="M162" s="58"/>
      <c r="N162" s="44"/>
      <c r="O162" s="44"/>
      <c r="P162" s="65"/>
    </row>
    <row r="163" spans="9:16" x14ac:dyDescent="0.3">
      <c r="I163" s="89"/>
      <c r="J163" s="15"/>
      <c r="K163" s="29"/>
      <c r="L163" s="89"/>
      <c r="M163" s="58"/>
      <c r="N163" s="44"/>
      <c r="O163" s="44"/>
      <c r="P163" s="65"/>
    </row>
    <row r="164" spans="9:16" x14ac:dyDescent="0.3">
      <c r="I164" s="89"/>
      <c r="J164" s="15"/>
      <c r="K164" s="29"/>
      <c r="L164" s="89"/>
      <c r="M164" s="58"/>
      <c r="N164" s="44"/>
      <c r="O164" s="44"/>
      <c r="P164" s="65"/>
    </row>
    <row r="165" spans="9:16" x14ac:dyDescent="0.3">
      <c r="I165" s="89"/>
      <c r="J165" s="15"/>
      <c r="K165" s="29"/>
      <c r="L165" s="89"/>
      <c r="M165" s="58"/>
      <c r="N165" s="44"/>
      <c r="O165" s="44"/>
      <c r="P165" s="65"/>
    </row>
    <row r="166" spans="9:16" x14ac:dyDescent="0.3">
      <c r="I166" s="89"/>
      <c r="J166" s="15"/>
      <c r="K166" s="29"/>
      <c r="L166" s="89"/>
      <c r="M166" s="58"/>
      <c r="N166" s="44"/>
      <c r="O166" s="44"/>
      <c r="P166" s="65"/>
    </row>
    <row r="167" spans="9:16" x14ac:dyDescent="0.3">
      <c r="I167" s="89"/>
      <c r="J167" s="15"/>
      <c r="K167" s="29"/>
      <c r="L167" s="89"/>
      <c r="M167" s="58"/>
      <c r="N167" s="44"/>
      <c r="O167" s="44"/>
      <c r="P167" s="65"/>
    </row>
    <row r="168" spans="9:16" x14ac:dyDescent="0.3">
      <c r="I168" s="89"/>
      <c r="J168" s="15"/>
      <c r="K168" s="29"/>
      <c r="L168" s="89"/>
      <c r="M168" s="58"/>
      <c r="N168" s="44"/>
      <c r="O168" s="44"/>
      <c r="P168" s="65"/>
    </row>
    <row r="169" spans="9:16" x14ac:dyDescent="0.3">
      <c r="I169" s="89"/>
      <c r="J169" s="15"/>
      <c r="K169" s="29"/>
      <c r="L169" s="89"/>
      <c r="M169" s="58"/>
      <c r="N169" s="44"/>
      <c r="O169" s="44"/>
      <c r="P169" s="65"/>
    </row>
    <row r="170" spans="9:16" x14ac:dyDescent="0.3">
      <c r="I170" s="89"/>
      <c r="J170" s="15"/>
      <c r="K170" s="29"/>
      <c r="L170" s="89"/>
      <c r="M170" s="58"/>
      <c r="N170" s="44"/>
      <c r="O170" s="44"/>
      <c r="P170" s="65"/>
    </row>
    <row r="171" spans="9:16" x14ac:dyDescent="0.3">
      <c r="I171" s="89"/>
      <c r="J171" s="15"/>
      <c r="K171" s="29"/>
      <c r="L171" s="89"/>
      <c r="M171" s="58"/>
      <c r="N171" s="44"/>
      <c r="O171" s="44"/>
      <c r="P171" s="65"/>
    </row>
    <row r="172" spans="9:16" x14ac:dyDescent="0.3">
      <c r="I172" s="89"/>
      <c r="J172" s="15"/>
      <c r="K172" s="29"/>
      <c r="L172" s="89"/>
      <c r="M172" s="58"/>
      <c r="N172" s="44"/>
      <c r="O172" s="44"/>
      <c r="P172" s="65"/>
    </row>
    <row r="173" spans="9:16" x14ac:dyDescent="0.3">
      <c r="I173" s="89"/>
      <c r="J173" s="15"/>
      <c r="K173" s="29"/>
      <c r="L173" s="89"/>
      <c r="M173" s="58"/>
      <c r="N173" s="44"/>
      <c r="O173" s="44"/>
      <c r="P173" s="65"/>
    </row>
    <row r="174" spans="9:16" x14ac:dyDescent="0.3">
      <c r="I174" s="89"/>
      <c r="J174" s="15"/>
      <c r="K174" s="29"/>
      <c r="L174" s="89"/>
      <c r="M174" s="58"/>
      <c r="N174" s="44"/>
      <c r="O174" s="44"/>
      <c r="P174" s="65"/>
    </row>
    <row r="175" spans="9:16" x14ac:dyDescent="0.3">
      <c r="I175" s="89"/>
      <c r="J175" s="15"/>
      <c r="K175" s="29"/>
      <c r="L175" s="89"/>
      <c r="M175" s="58"/>
      <c r="N175" s="44"/>
      <c r="O175" s="44"/>
      <c r="P175" s="65"/>
    </row>
    <row r="176" spans="9:16" x14ac:dyDescent="0.3">
      <c r="I176" s="89"/>
      <c r="J176" s="15"/>
      <c r="K176" s="29"/>
      <c r="L176" s="89"/>
      <c r="M176" s="58"/>
      <c r="N176" s="44"/>
      <c r="O176" s="44"/>
      <c r="P176" s="65"/>
    </row>
    <row r="177" spans="9:16" x14ac:dyDescent="0.3">
      <c r="I177" s="89"/>
      <c r="J177" s="15"/>
      <c r="K177" s="29"/>
      <c r="L177" s="89"/>
      <c r="M177" s="58"/>
      <c r="N177" s="44"/>
      <c r="O177" s="44"/>
      <c r="P177" s="65"/>
    </row>
    <row r="178" spans="9:16" x14ac:dyDescent="0.3">
      <c r="I178" s="89"/>
      <c r="J178" s="15"/>
      <c r="K178" s="29"/>
      <c r="L178" s="89"/>
      <c r="M178" s="58"/>
      <c r="N178" s="44"/>
      <c r="O178" s="44"/>
      <c r="P178" s="65"/>
    </row>
    <row r="179" spans="9:16" x14ac:dyDescent="0.3">
      <c r="I179" s="89"/>
      <c r="J179" s="15"/>
      <c r="K179" s="29"/>
      <c r="L179" s="89"/>
      <c r="M179" s="58"/>
      <c r="N179" s="44"/>
      <c r="O179" s="44"/>
      <c r="P179" s="65"/>
    </row>
    <row r="180" spans="9:16" x14ac:dyDescent="0.3">
      <c r="I180" s="89"/>
      <c r="J180" s="15"/>
      <c r="K180" s="29"/>
      <c r="L180" s="89"/>
      <c r="M180" s="58"/>
      <c r="N180" s="44"/>
      <c r="O180" s="44"/>
      <c r="P180" s="65"/>
    </row>
    <row r="181" spans="9:16" x14ac:dyDescent="0.3">
      <c r="I181" s="89"/>
      <c r="J181" s="15"/>
      <c r="K181" s="29"/>
      <c r="L181" s="89"/>
      <c r="M181" s="58"/>
      <c r="N181" s="44"/>
      <c r="O181" s="44"/>
      <c r="P181" s="65"/>
    </row>
    <row r="182" spans="9:16" x14ac:dyDescent="0.3">
      <c r="I182" s="89"/>
      <c r="J182" s="15"/>
      <c r="K182" s="29"/>
      <c r="L182" s="89"/>
      <c r="M182" s="58"/>
      <c r="N182" s="44"/>
      <c r="O182" s="44"/>
      <c r="P182" s="65"/>
    </row>
    <row r="183" spans="9:16" x14ac:dyDescent="0.3">
      <c r="I183" s="89"/>
      <c r="J183" s="15"/>
      <c r="K183" s="29"/>
      <c r="L183" s="89"/>
      <c r="M183" s="58"/>
      <c r="N183" s="44"/>
      <c r="O183" s="44"/>
      <c r="P183" s="65"/>
    </row>
    <row r="184" spans="9:16" x14ac:dyDescent="0.3">
      <c r="I184" s="89"/>
      <c r="J184" s="15"/>
      <c r="K184" s="29"/>
      <c r="L184" s="89"/>
      <c r="M184" s="58"/>
      <c r="N184" s="44"/>
      <c r="O184" s="44"/>
      <c r="P184" s="65"/>
    </row>
    <row r="185" spans="9:16" x14ac:dyDescent="0.3">
      <c r="I185" s="89"/>
      <c r="J185" s="15"/>
      <c r="K185" s="29"/>
      <c r="L185" s="89"/>
      <c r="M185" s="58"/>
      <c r="N185" s="44"/>
      <c r="O185" s="44"/>
      <c r="P185" s="65"/>
    </row>
    <row r="186" spans="9:16" x14ac:dyDescent="0.3">
      <c r="I186" s="89"/>
      <c r="J186" s="15"/>
      <c r="K186" s="29"/>
      <c r="L186" s="89"/>
      <c r="M186" s="58"/>
      <c r="N186" s="44"/>
      <c r="O186" s="44"/>
      <c r="P186" s="65"/>
    </row>
    <row r="187" spans="9:16" x14ac:dyDescent="0.3">
      <c r="I187" s="89"/>
      <c r="J187" s="15"/>
      <c r="K187" s="29"/>
      <c r="L187" s="89"/>
      <c r="M187" s="58"/>
      <c r="N187" s="44"/>
      <c r="O187" s="44"/>
      <c r="P187" s="65"/>
    </row>
    <row r="188" spans="9:16" x14ac:dyDescent="0.3">
      <c r="I188" s="89"/>
      <c r="J188" s="15"/>
      <c r="K188" s="29"/>
      <c r="L188" s="89"/>
      <c r="M188" s="58"/>
      <c r="N188" s="44"/>
      <c r="O188" s="44"/>
      <c r="P188" s="65"/>
    </row>
    <row r="189" spans="9:16" x14ac:dyDescent="0.3">
      <c r="I189" s="89"/>
      <c r="J189" s="15"/>
      <c r="K189" s="29"/>
      <c r="L189" s="89"/>
      <c r="M189" s="58"/>
      <c r="N189" s="44"/>
      <c r="O189" s="44"/>
      <c r="P189" s="65"/>
    </row>
    <row r="190" spans="9:16" x14ac:dyDescent="0.3">
      <c r="I190" s="89"/>
      <c r="J190" s="15"/>
      <c r="K190" s="29"/>
      <c r="L190" s="89"/>
      <c r="M190" s="58"/>
      <c r="N190" s="44"/>
      <c r="O190" s="44"/>
      <c r="P190" s="65"/>
    </row>
    <row r="191" spans="9:16" x14ac:dyDescent="0.3">
      <c r="I191" s="89"/>
      <c r="J191" s="15"/>
      <c r="K191" s="29"/>
      <c r="L191" s="89"/>
      <c r="M191" s="58"/>
      <c r="N191" s="44"/>
      <c r="O191" s="44"/>
      <c r="P191" s="65"/>
    </row>
    <row r="192" spans="9:16" x14ac:dyDescent="0.3">
      <c r="I192" s="89"/>
      <c r="J192" s="15"/>
      <c r="K192" s="29"/>
      <c r="L192" s="89"/>
      <c r="M192" s="58"/>
      <c r="N192" s="44"/>
      <c r="O192" s="44"/>
      <c r="P192" s="65"/>
    </row>
    <row r="193" spans="9:16" x14ac:dyDescent="0.3">
      <c r="I193" s="89"/>
      <c r="J193" s="15"/>
      <c r="K193" s="29"/>
      <c r="L193" s="89"/>
      <c r="M193" s="58"/>
      <c r="N193" s="44"/>
      <c r="O193" s="44"/>
      <c r="P193" s="65"/>
    </row>
    <row r="194" spans="9:16" x14ac:dyDescent="0.3">
      <c r="I194" s="89"/>
      <c r="J194" s="15"/>
      <c r="K194" s="29"/>
      <c r="L194" s="89"/>
      <c r="M194" s="58"/>
      <c r="N194" s="44"/>
      <c r="O194" s="44"/>
      <c r="P194" s="65"/>
    </row>
    <row r="195" spans="9:16" x14ac:dyDescent="0.3">
      <c r="I195" s="89"/>
      <c r="J195" s="15"/>
      <c r="K195" s="29"/>
      <c r="L195" s="89"/>
      <c r="M195" s="58"/>
      <c r="N195" s="44"/>
      <c r="O195" s="44"/>
      <c r="P195" s="65"/>
    </row>
    <row r="196" spans="9:16" x14ac:dyDescent="0.3">
      <c r="I196" s="89"/>
      <c r="J196" s="15"/>
      <c r="K196" s="29"/>
      <c r="L196" s="89"/>
      <c r="M196" s="58"/>
      <c r="N196" s="44"/>
      <c r="O196" s="44"/>
      <c r="P196" s="65"/>
    </row>
    <row r="197" spans="9:16" x14ac:dyDescent="0.3">
      <c r="I197" s="89"/>
      <c r="J197" s="15"/>
      <c r="K197" s="29"/>
      <c r="L197" s="89"/>
      <c r="M197" s="58"/>
      <c r="N197" s="44"/>
      <c r="O197" s="44"/>
      <c r="P197" s="65"/>
    </row>
    <row r="198" spans="9:16" x14ac:dyDescent="0.3">
      <c r="I198" s="89"/>
      <c r="J198" s="15"/>
      <c r="K198" s="29"/>
      <c r="L198" s="89"/>
      <c r="M198" s="58"/>
      <c r="N198" s="44"/>
      <c r="O198" s="44"/>
      <c r="P198" s="65"/>
    </row>
    <row r="199" spans="9:16" x14ac:dyDescent="0.3">
      <c r="I199" s="89"/>
      <c r="J199" s="15"/>
      <c r="K199" s="29"/>
      <c r="L199" s="89"/>
      <c r="M199" s="58"/>
      <c r="N199" s="44"/>
      <c r="O199" s="44"/>
      <c r="P199" s="65"/>
    </row>
    <row r="200" spans="9:16" x14ac:dyDescent="0.3">
      <c r="I200" s="89"/>
      <c r="J200" s="15"/>
      <c r="K200" s="29"/>
      <c r="L200" s="89"/>
      <c r="M200" s="58"/>
      <c r="N200" s="44"/>
      <c r="O200" s="44"/>
      <c r="P200" s="65"/>
    </row>
    <row r="201" spans="9:16" x14ac:dyDescent="0.3">
      <c r="I201" s="89"/>
      <c r="J201" s="15"/>
      <c r="K201" s="29"/>
      <c r="L201" s="89"/>
      <c r="M201" s="58"/>
      <c r="N201" s="44"/>
      <c r="O201" s="44"/>
      <c r="P201" s="65"/>
    </row>
    <row r="202" spans="9:16" x14ac:dyDescent="0.3">
      <c r="I202" s="89"/>
      <c r="J202" s="15"/>
      <c r="K202" s="29"/>
      <c r="L202" s="89"/>
      <c r="M202" s="58"/>
      <c r="N202" s="44"/>
      <c r="O202" s="44"/>
      <c r="P202" s="65"/>
    </row>
    <row r="203" spans="9:16" x14ac:dyDescent="0.3">
      <c r="I203" s="89"/>
      <c r="J203" s="15"/>
      <c r="K203" s="29"/>
      <c r="L203" s="89"/>
      <c r="M203" s="58"/>
      <c r="N203" s="44"/>
      <c r="O203" s="44"/>
      <c r="P203" s="65"/>
    </row>
    <row r="204" spans="9:16" x14ac:dyDescent="0.3">
      <c r="I204" s="89"/>
      <c r="J204" s="15"/>
      <c r="K204" s="29"/>
      <c r="L204" s="89"/>
      <c r="M204" s="58"/>
      <c r="N204" s="44"/>
      <c r="O204" s="44"/>
      <c r="P204" s="65"/>
    </row>
    <row r="205" spans="9:16" x14ac:dyDescent="0.3">
      <c r="I205" s="89"/>
      <c r="J205" s="15"/>
      <c r="K205" s="29"/>
      <c r="L205" s="89"/>
      <c r="M205" s="58"/>
      <c r="N205" s="44"/>
      <c r="O205" s="44"/>
      <c r="P205" s="65"/>
    </row>
    <row r="206" spans="9:16" x14ac:dyDescent="0.3">
      <c r="I206" s="89"/>
      <c r="J206" s="15"/>
      <c r="K206" s="29"/>
      <c r="L206" s="89"/>
      <c r="M206" s="58"/>
      <c r="N206" s="44"/>
      <c r="O206" s="44"/>
      <c r="P206" s="65"/>
    </row>
    <row r="207" spans="9:16" x14ac:dyDescent="0.3">
      <c r="I207" s="89"/>
      <c r="J207" s="15"/>
      <c r="K207" s="29"/>
      <c r="L207" s="89"/>
      <c r="M207" s="58"/>
      <c r="N207" s="44"/>
      <c r="O207" s="44"/>
      <c r="P207" s="65"/>
    </row>
    <row r="208" spans="9:16" x14ac:dyDescent="0.3">
      <c r="I208" s="89"/>
      <c r="J208" s="15"/>
      <c r="K208" s="29"/>
      <c r="L208" s="89"/>
      <c r="M208" s="58"/>
      <c r="N208" s="44"/>
      <c r="O208" s="44"/>
      <c r="P208" s="65"/>
    </row>
    <row r="209" spans="9:16" x14ac:dyDescent="0.3">
      <c r="I209" s="89"/>
      <c r="J209" s="15"/>
      <c r="K209" s="29"/>
      <c r="L209" s="89"/>
      <c r="M209" s="58"/>
      <c r="N209" s="44"/>
      <c r="O209" s="44"/>
      <c r="P209" s="65"/>
    </row>
    <row r="210" spans="9:16" x14ac:dyDescent="0.3">
      <c r="I210" s="89"/>
      <c r="J210" s="15"/>
      <c r="K210" s="29"/>
      <c r="L210" s="89"/>
      <c r="M210" s="58"/>
      <c r="N210" s="44"/>
      <c r="O210" s="44"/>
      <c r="P210" s="65"/>
    </row>
    <row r="211" spans="9:16" x14ac:dyDescent="0.3">
      <c r="I211" s="89"/>
      <c r="J211" s="15"/>
      <c r="K211" s="29"/>
      <c r="L211" s="89"/>
      <c r="M211" s="58"/>
      <c r="N211" s="44"/>
      <c r="O211" s="44"/>
      <c r="P211" s="65"/>
    </row>
    <row r="212" spans="9:16" x14ac:dyDescent="0.3">
      <c r="I212" s="89"/>
      <c r="J212" s="15"/>
      <c r="K212" s="29"/>
      <c r="L212" s="89"/>
      <c r="M212" s="58"/>
      <c r="N212" s="44"/>
      <c r="O212" s="44"/>
      <c r="P212" s="65"/>
    </row>
    <row r="213" spans="9:16" x14ac:dyDescent="0.3">
      <c r="I213" s="89"/>
      <c r="J213" s="15"/>
      <c r="K213" s="29"/>
      <c r="L213" s="89"/>
      <c r="M213" s="58"/>
      <c r="N213" s="44"/>
      <c r="O213" s="44"/>
      <c r="P213" s="65"/>
    </row>
    <row r="214" spans="9:16" x14ac:dyDescent="0.3">
      <c r="I214" s="89"/>
      <c r="J214" s="15"/>
      <c r="K214" s="29"/>
      <c r="L214" s="89"/>
      <c r="M214" s="58"/>
      <c r="N214" s="44"/>
      <c r="O214" s="44"/>
      <c r="P214" s="65"/>
    </row>
    <row r="215" spans="9:16" x14ac:dyDescent="0.3">
      <c r="I215" s="89"/>
      <c r="J215" s="15"/>
      <c r="K215" s="29"/>
      <c r="L215" s="89"/>
      <c r="M215" s="58"/>
      <c r="N215" s="44"/>
      <c r="O215" s="44"/>
      <c r="P215" s="65"/>
    </row>
    <row r="216" spans="9:16" x14ac:dyDescent="0.3">
      <c r="I216" s="89"/>
      <c r="J216" s="15"/>
      <c r="K216" s="29"/>
      <c r="L216" s="89"/>
      <c r="M216" s="58"/>
      <c r="N216" s="44"/>
      <c r="O216" s="44"/>
      <c r="P216" s="65"/>
    </row>
    <row r="217" spans="9:16" x14ac:dyDescent="0.3">
      <c r="I217" s="89"/>
      <c r="J217" s="15"/>
      <c r="K217" s="29"/>
      <c r="L217" s="89"/>
      <c r="M217" s="58"/>
      <c r="N217" s="44"/>
      <c r="O217" s="44"/>
      <c r="P217" s="65"/>
    </row>
    <row r="218" spans="9:16" x14ac:dyDescent="0.3">
      <c r="I218" s="89"/>
      <c r="J218" s="15"/>
      <c r="K218" s="29"/>
      <c r="L218" s="89"/>
      <c r="M218" s="58"/>
      <c r="N218" s="44"/>
      <c r="O218" s="44"/>
      <c r="P218" s="65"/>
    </row>
    <row r="219" spans="9:16" x14ac:dyDescent="0.3">
      <c r="I219" s="89"/>
      <c r="J219" s="15"/>
      <c r="K219" s="29"/>
      <c r="L219" s="89"/>
      <c r="M219" s="58"/>
      <c r="N219" s="44"/>
      <c r="O219" s="44"/>
      <c r="P219" s="65"/>
    </row>
    <row r="220" spans="9:16" x14ac:dyDescent="0.3">
      <c r="I220" s="89"/>
      <c r="J220" s="15"/>
      <c r="K220" s="29"/>
      <c r="L220" s="89"/>
      <c r="M220" s="58"/>
      <c r="N220" s="44"/>
      <c r="O220" s="44"/>
      <c r="P220" s="65"/>
    </row>
    <row r="221" spans="9:16" x14ac:dyDescent="0.3">
      <c r="I221" s="89"/>
      <c r="J221" s="15"/>
      <c r="K221" s="29"/>
      <c r="L221" s="89"/>
      <c r="M221" s="58"/>
      <c r="N221" s="44"/>
      <c r="O221" s="44"/>
      <c r="P221" s="65"/>
    </row>
    <row r="222" spans="9:16" x14ac:dyDescent="0.3">
      <c r="I222" s="89"/>
      <c r="J222" s="15"/>
      <c r="K222" s="29"/>
      <c r="L222" s="89"/>
      <c r="M222" s="58"/>
      <c r="N222" s="44"/>
      <c r="O222" s="44"/>
      <c r="P222" s="65"/>
    </row>
    <row r="223" spans="9:16" x14ac:dyDescent="0.3">
      <c r="I223" s="89"/>
      <c r="J223" s="15"/>
      <c r="K223" s="29"/>
      <c r="L223" s="89"/>
      <c r="M223" s="58"/>
      <c r="N223" s="44"/>
      <c r="O223" s="44"/>
      <c r="P223" s="65"/>
    </row>
    <row r="224" spans="9:16" x14ac:dyDescent="0.3">
      <c r="I224" s="89"/>
      <c r="J224" s="15"/>
      <c r="K224" s="29"/>
      <c r="L224" s="89"/>
      <c r="M224" s="58"/>
      <c r="N224" s="44"/>
      <c r="O224" s="44"/>
      <c r="P224" s="65"/>
    </row>
    <row r="225" spans="9:16" x14ac:dyDescent="0.3">
      <c r="I225" s="89"/>
      <c r="J225" s="15"/>
      <c r="K225" s="29"/>
      <c r="L225" s="89"/>
      <c r="M225" s="58"/>
      <c r="N225" s="44"/>
      <c r="O225" s="44"/>
      <c r="P225" s="65"/>
    </row>
    <row r="226" spans="9:16" x14ac:dyDescent="0.3">
      <c r="I226" s="89"/>
      <c r="J226" s="15"/>
      <c r="K226" s="29"/>
      <c r="L226" s="89"/>
      <c r="M226" s="58"/>
      <c r="N226" s="44"/>
      <c r="O226" s="44"/>
      <c r="P226" s="65"/>
    </row>
    <row r="227" spans="9:16" x14ac:dyDescent="0.3">
      <c r="I227" s="89"/>
      <c r="J227" s="15"/>
      <c r="K227" s="29"/>
      <c r="L227" s="89"/>
      <c r="M227" s="58"/>
      <c r="N227" s="44"/>
      <c r="O227" s="44"/>
      <c r="P227" s="65"/>
    </row>
    <row r="228" spans="9:16" x14ac:dyDescent="0.3">
      <c r="I228" s="89"/>
      <c r="J228" s="15"/>
      <c r="K228" s="29"/>
      <c r="L228" s="89"/>
      <c r="M228" s="58"/>
      <c r="N228" s="44"/>
      <c r="O228" s="44"/>
      <c r="P228" s="65"/>
    </row>
    <row r="229" spans="9:16" x14ac:dyDescent="0.3">
      <c r="I229" s="89"/>
      <c r="J229" s="15"/>
      <c r="K229" s="29"/>
      <c r="L229" s="89"/>
      <c r="M229" s="58"/>
      <c r="N229" s="44"/>
      <c r="O229" s="44"/>
      <c r="P229" s="65"/>
    </row>
    <row r="230" spans="9:16" x14ac:dyDescent="0.3">
      <c r="I230" s="89"/>
      <c r="J230" s="15"/>
      <c r="K230" s="29"/>
      <c r="L230" s="89"/>
      <c r="M230" s="58"/>
      <c r="N230" s="44"/>
      <c r="O230" s="44"/>
      <c r="P230" s="65"/>
    </row>
    <row r="231" spans="9:16" x14ac:dyDescent="0.3">
      <c r="I231" s="89"/>
      <c r="J231" s="15"/>
      <c r="K231" s="29"/>
      <c r="L231" s="89"/>
      <c r="M231" s="58"/>
      <c r="N231" s="44"/>
      <c r="O231" s="44"/>
      <c r="P231" s="65"/>
    </row>
    <row r="232" spans="9:16" x14ac:dyDescent="0.3">
      <c r="I232" s="89"/>
      <c r="J232" s="15"/>
      <c r="K232" s="29"/>
      <c r="L232" s="89"/>
      <c r="M232" s="58"/>
      <c r="N232" s="44"/>
      <c r="O232" s="44"/>
      <c r="P232" s="65"/>
    </row>
    <row r="233" spans="9:16" x14ac:dyDescent="0.3">
      <c r="I233" s="89"/>
      <c r="J233" s="15"/>
      <c r="K233" s="29"/>
      <c r="L233" s="89"/>
      <c r="M233" s="58"/>
      <c r="N233" s="44"/>
      <c r="O233" s="44"/>
      <c r="P233" s="65"/>
    </row>
    <row r="234" spans="9:16" x14ac:dyDescent="0.3">
      <c r="I234" s="89"/>
      <c r="J234" s="15"/>
      <c r="K234" s="29"/>
      <c r="L234" s="89"/>
      <c r="M234" s="58"/>
      <c r="N234" s="44"/>
      <c r="O234" s="44"/>
      <c r="P234" s="65"/>
    </row>
    <row r="235" spans="9:16" x14ac:dyDescent="0.3">
      <c r="I235" s="89"/>
      <c r="J235" s="15"/>
      <c r="K235" s="29"/>
      <c r="L235" s="89"/>
      <c r="M235" s="58"/>
      <c r="N235" s="44"/>
      <c r="O235" s="44"/>
      <c r="P235" s="65"/>
    </row>
    <row r="236" spans="9:16" x14ac:dyDescent="0.3">
      <c r="I236" s="89"/>
      <c r="J236" s="15"/>
      <c r="K236" s="29"/>
      <c r="L236" s="89"/>
      <c r="M236" s="58"/>
      <c r="N236" s="44"/>
      <c r="O236" s="44"/>
      <c r="P236" s="65"/>
    </row>
    <row r="237" spans="9:16" x14ac:dyDescent="0.3">
      <c r="I237" s="89"/>
      <c r="J237" s="15"/>
      <c r="K237" s="29"/>
      <c r="L237" s="89"/>
      <c r="M237" s="58"/>
      <c r="N237" s="44"/>
      <c r="O237" s="44"/>
      <c r="P237" s="65"/>
    </row>
    <row r="238" spans="9:16" x14ac:dyDescent="0.3">
      <c r="I238" s="89"/>
      <c r="J238" s="15"/>
      <c r="K238" s="29"/>
      <c r="L238" s="89"/>
      <c r="M238" s="58"/>
      <c r="N238" s="44"/>
      <c r="O238" s="44"/>
      <c r="P238" s="65"/>
    </row>
    <row r="239" spans="9:16" x14ac:dyDescent="0.3">
      <c r="I239" s="89"/>
      <c r="J239" s="15"/>
      <c r="K239" s="29"/>
      <c r="L239" s="89"/>
      <c r="M239" s="58"/>
      <c r="N239" s="44"/>
      <c r="O239" s="44"/>
      <c r="P239" s="65"/>
    </row>
    <row r="240" spans="9:16" x14ac:dyDescent="0.3">
      <c r="I240" s="89"/>
      <c r="J240" s="15"/>
      <c r="K240" s="29"/>
      <c r="L240" s="89"/>
      <c r="M240" s="58"/>
      <c r="N240" s="44"/>
      <c r="O240" s="44"/>
      <c r="P240" s="65"/>
    </row>
    <row r="241" spans="9:16" x14ac:dyDescent="0.3">
      <c r="I241" s="89"/>
      <c r="J241" s="15"/>
      <c r="K241" s="29"/>
      <c r="L241" s="89"/>
      <c r="M241" s="58"/>
      <c r="N241" s="44"/>
      <c r="O241" s="44"/>
      <c r="P241" s="65"/>
    </row>
    <row r="242" spans="9:16" x14ac:dyDescent="0.3">
      <c r="I242" s="89"/>
      <c r="J242" s="15"/>
      <c r="K242" s="29"/>
      <c r="L242" s="89"/>
      <c r="M242" s="58"/>
      <c r="N242" s="44"/>
      <c r="O242" s="44"/>
      <c r="P242" s="65"/>
    </row>
    <row r="243" spans="9:16" x14ac:dyDescent="0.3">
      <c r="I243" s="89"/>
      <c r="J243" s="15"/>
      <c r="K243" s="29"/>
      <c r="L243" s="89"/>
      <c r="M243" s="58"/>
      <c r="N243" s="44"/>
      <c r="O243" s="44"/>
      <c r="P243" s="65"/>
    </row>
    <row r="244" spans="9:16" x14ac:dyDescent="0.3">
      <c r="I244" s="89"/>
      <c r="J244" s="15"/>
      <c r="K244" s="29"/>
      <c r="L244" s="89"/>
      <c r="M244" s="58"/>
      <c r="N244" s="44"/>
      <c r="O244" s="44"/>
      <c r="P244" s="65"/>
    </row>
    <row r="245" spans="9:16" x14ac:dyDescent="0.3">
      <c r="I245" s="89"/>
      <c r="J245" s="15"/>
      <c r="K245" s="29"/>
      <c r="L245" s="89"/>
      <c r="M245" s="58"/>
      <c r="N245" s="44"/>
      <c r="O245" s="44"/>
      <c r="P245" s="65"/>
    </row>
    <row r="246" spans="9:16" x14ac:dyDescent="0.3">
      <c r="I246" s="89"/>
      <c r="J246" s="15"/>
      <c r="K246" s="29"/>
      <c r="L246" s="89"/>
      <c r="M246" s="58"/>
      <c r="N246" s="44"/>
      <c r="O246" s="44"/>
      <c r="P246" s="65"/>
    </row>
    <row r="247" spans="9:16" x14ac:dyDescent="0.3">
      <c r="I247" s="89"/>
      <c r="J247" s="15"/>
      <c r="K247" s="29"/>
      <c r="L247" s="89"/>
      <c r="M247" s="58"/>
      <c r="N247" s="44"/>
      <c r="O247" s="44"/>
      <c r="P247" s="65"/>
    </row>
    <row r="248" spans="9:16" x14ac:dyDescent="0.3">
      <c r="I248" s="89"/>
      <c r="J248" s="15"/>
      <c r="K248" s="29"/>
      <c r="L248" s="89"/>
      <c r="M248" s="58"/>
      <c r="N248" s="44"/>
      <c r="O248" s="44"/>
      <c r="P248" s="65"/>
    </row>
    <row r="249" spans="9:16" x14ac:dyDescent="0.3">
      <c r="I249" s="89"/>
      <c r="J249" s="15"/>
      <c r="K249" s="29"/>
      <c r="L249" s="89"/>
      <c r="M249" s="58"/>
      <c r="N249" s="44"/>
      <c r="O249" s="44"/>
      <c r="P249" s="65"/>
    </row>
    <row r="250" spans="9:16" x14ac:dyDescent="0.3">
      <c r="I250" s="89"/>
      <c r="J250" s="15"/>
      <c r="K250" s="29"/>
      <c r="L250" s="89"/>
      <c r="M250" s="58"/>
      <c r="N250" s="44"/>
      <c r="O250" s="44"/>
      <c r="P250" s="65"/>
    </row>
    <row r="251" spans="9:16" x14ac:dyDescent="0.3">
      <c r="I251" s="89"/>
      <c r="J251" s="15"/>
      <c r="K251" s="29"/>
      <c r="L251" s="89"/>
      <c r="M251" s="58"/>
      <c r="N251" s="44"/>
      <c r="O251" s="44"/>
      <c r="P251" s="65"/>
    </row>
    <row r="252" spans="9:16" x14ac:dyDescent="0.3">
      <c r="I252" s="89"/>
      <c r="J252" s="15"/>
      <c r="K252" s="29"/>
      <c r="L252" s="89"/>
      <c r="M252" s="58"/>
      <c r="N252" s="44"/>
      <c r="O252" s="44"/>
      <c r="P252" s="65"/>
    </row>
    <row r="253" spans="9:16" x14ac:dyDescent="0.3">
      <c r="I253" s="89"/>
      <c r="J253" s="15"/>
      <c r="K253" s="29"/>
      <c r="L253" s="89"/>
      <c r="M253" s="58"/>
      <c r="N253" s="44"/>
      <c r="O253" s="44"/>
      <c r="P253" s="65"/>
    </row>
    <row r="254" spans="9:16" x14ac:dyDescent="0.3">
      <c r="I254" s="89"/>
      <c r="J254" s="15"/>
      <c r="K254" s="29"/>
      <c r="L254" s="89"/>
      <c r="M254" s="58"/>
      <c r="N254" s="44"/>
      <c r="O254" s="44"/>
      <c r="P254" s="65"/>
    </row>
    <row r="255" spans="9:16" x14ac:dyDescent="0.3">
      <c r="I255" s="89"/>
      <c r="J255" s="15"/>
      <c r="K255" s="29"/>
      <c r="L255" s="89"/>
      <c r="M255" s="58"/>
      <c r="N255" s="44"/>
      <c r="O255" s="44"/>
      <c r="P255" s="65"/>
    </row>
    <row r="256" spans="9:16" x14ac:dyDescent="0.3">
      <c r="I256" s="89"/>
      <c r="J256" s="15"/>
      <c r="K256" s="29"/>
      <c r="L256" s="89"/>
      <c r="M256" s="58"/>
      <c r="N256" s="44"/>
      <c r="O256" s="44"/>
      <c r="P256" s="65"/>
    </row>
    <row r="257" spans="9:16" x14ac:dyDescent="0.3">
      <c r="I257" s="89"/>
      <c r="J257" s="15"/>
      <c r="K257" s="29"/>
      <c r="L257" s="89"/>
      <c r="M257" s="58"/>
      <c r="N257" s="44"/>
      <c r="O257" s="44"/>
      <c r="P257" s="65"/>
    </row>
    <row r="258" spans="9:16" x14ac:dyDescent="0.3">
      <c r="I258" s="89"/>
      <c r="J258" s="15"/>
      <c r="K258" s="29"/>
      <c r="L258" s="89"/>
      <c r="M258" s="58"/>
      <c r="N258" s="44"/>
      <c r="O258" s="44"/>
      <c r="P258" s="65"/>
    </row>
    <row r="259" spans="9:16" x14ac:dyDescent="0.3">
      <c r="I259" s="89"/>
      <c r="J259" s="15"/>
      <c r="K259" s="29"/>
      <c r="L259" s="89"/>
      <c r="M259" s="58"/>
      <c r="N259" s="44"/>
      <c r="O259" s="44"/>
      <c r="P259" s="65"/>
    </row>
    <row r="260" spans="9:16" x14ac:dyDescent="0.3">
      <c r="I260" s="89"/>
      <c r="J260" s="15"/>
      <c r="K260" s="29"/>
      <c r="L260" s="89"/>
      <c r="M260" s="58"/>
      <c r="N260" s="44"/>
      <c r="O260" s="44"/>
      <c r="P260" s="65"/>
    </row>
    <row r="261" spans="9:16" x14ac:dyDescent="0.3">
      <c r="I261" s="89"/>
      <c r="J261" s="15"/>
      <c r="K261" s="29"/>
      <c r="L261" s="89"/>
      <c r="M261" s="58"/>
      <c r="N261" s="44"/>
      <c r="O261" s="44"/>
      <c r="P261" s="65"/>
    </row>
    <row r="262" spans="9:16" x14ac:dyDescent="0.3">
      <c r="I262" s="89"/>
      <c r="J262" s="15"/>
      <c r="K262" s="29"/>
      <c r="L262" s="89"/>
      <c r="M262" s="58"/>
      <c r="N262" s="44"/>
      <c r="O262" s="44"/>
      <c r="P262" s="65"/>
    </row>
    <row r="263" spans="9:16" x14ac:dyDescent="0.3">
      <c r="I263" s="89"/>
      <c r="J263" s="15"/>
      <c r="K263" s="29"/>
      <c r="L263" s="89"/>
      <c r="M263" s="58"/>
      <c r="N263" s="44"/>
      <c r="O263" s="44"/>
      <c r="P263" s="65"/>
    </row>
    <row r="264" spans="9:16" x14ac:dyDescent="0.3">
      <c r="I264" s="89"/>
      <c r="J264" s="15"/>
      <c r="K264" s="29"/>
      <c r="L264" s="89"/>
      <c r="M264" s="58"/>
      <c r="N264" s="44"/>
      <c r="O264" s="44"/>
      <c r="P264" s="65"/>
    </row>
    <row r="265" spans="9:16" x14ac:dyDescent="0.3">
      <c r="I265" s="89"/>
      <c r="J265" s="15"/>
      <c r="K265" s="29"/>
      <c r="L265" s="89"/>
      <c r="M265" s="58"/>
      <c r="N265" s="44"/>
      <c r="O265" s="44"/>
      <c r="P265" s="65"/>
    </row>
    <row r="266" spans="9:16" x14ac:dyDescent="0.3">
      <c r="I266" s="89"/>
      <c r="J266" s="15"/>
      <c r="K266" s="29"/>
      <c r="L266" s="89"/>
      <c r="M266" s="58"/>
      <c r="N266" s="44"/>
      <c r="O266" s="44"/>
      <c r="P266" s="65"/>
    </row>
    <row r="267" spans="9:16" x14ac:dyDescent="0.3">
      <c r="I267" s="89"/>
      <c r="J267" s="15"/>
      <c r="K267" s="29"/>
      <c r="L267" s="89"/>
      <c r="M267" s="58"/>
      <c r="N267" s="44"/>
      <c r="O267" s="44"/>
      <c r="P267" s="65"/>
    </row>
    <row r="268" spans="9:16" x14ac:dyDescent="0.3">
      <c r="I268" s="89"/>
      <c r="J268" s="15"/>
      <c r="K268" s="29"/>
      <c r="L268" s="89"/>
      <c r="M268" s="58"/>
      <c r="N268" s="44"/>
      <c r="O268" s="44"/>
      <c r="P268" s="65"/>
    </row>
    <row r="269" spans="9:16" x14ac:dyDescent="0.3">
      <c r="I269" s="89"/>
      <c r="J269" s="15"/>
      <c r="K269" s="29"/>
      <c r="L269" s="89"/>
      <c r="M269" s="58"/>
      <c r="N269" s="44"/>
      <c r="O269" s="44"/>
      <c r="P269" s="65"/>
    </row>
    <row r="270" spans="9:16" x14ac:dyDescent="0.3">
      <c r="I270" s="89"/>
      <c r="J270" s="15"/>
      <c r="K270" s="29"/>
      <c r="L270" s="89"/>
      <c r="M270" s="58"/>
      <c r="N270" s="44"/>
      <c r="O270" s="44"/>
      <c r="P270" s="65"/>
    </row>
    <row r="271" spans="9:16" x14ac:dyDescent="0.3">
      <c r="I271" s="89"/>
      <c r="J271" s="15"/>
      <c r="K271" s="29"/>
      <c r="L271" s="89"/>
      <c r="M271" s="58"/>
      <c r="N271" s="44"/>
      <c r="O271" s="44"/>
      <c r="P271" s="65"/>
    </row>
    <row r="272" spans="9:16" x14ac:dyDescent="0.3">
      <c r="I272" s="89"/>
      <c r="J272" s="15"/>
      <c r="K272" s="29"/>
      <c r="L272" s="89"/>
      <c r="M272" s="58"/>
      <c r="N272" s="44"/>
      <c r="O272" s="44"/>
      <c r="P272" s="65"/>
    </row>
    <row r="273" spans="9:16" x14ac:dyDescent="0.3">
      <c r="I273" s="89"/>
      <c r="J273" s="15"/>
      <c r="K273" s="29"/>
      <c r="L273" s="89"/>
      <c r="M273" s="58"/>
      <c r="N273" s="44"/>
      <c r="O273" s="44"/>
      <c r="P273" s="65"/>
    </row>
    <row r="274" spans="9:16" x14ac:dyDescent="0.3">
      <c r="I274" s="89"/>
      <c r="J274" s="15"/>
      <c r="K274" s="29"/>
      <c r="L274" s="89"/>
      <c r="M274" s="58"/>
      <c r="N274" s="44"/>
      <c r="O274" s="44"/>
      <c r="P274" s="65"/>
    </row>
    <row r="275" spans="9:16" x14ac:dyDescent="0.3">
      <c r="I275" s="89"/>
      <c r="J275" s="15"/>
      <c r="K275" s="29"/>
      <c r="L275" s="89"/>
      <c r="M275" s="58"/>
      <c r="N275" s="44"/>
      <c r="O275" s="44"/>
      <c r="P275" s="65"/>
    </row>
    <row r="276" spans="9:16" x14ac:dyDescent="0.3">
      <c r="I276" s="89"/>
      <c r="J276" s="15"/>
      <c r="K276" s="29"/>
      <c r="L276" s="89"/>
      <c r="M276" s="58"/>
      <c r="N276" s="44"/>
      <c r="O276" s="44"/>
      <c r="P276" s="65"/>
    </row>
    <row r="277" spans="9:16" x14ac:dyDescent="0.3">
      <c r="I277" s="89"/>
      <c r="J277" s="15"/>
      <c r="K277" s="29"/>
      <c r="L277" s="89"/>
      <c r="M277" s="58"/>
      <c r="N277" s="44"/>
      <c r="O277" s="44"/>
      <c r="P277" s="65"/>
    </row>
    <row r="278" spans="9:16" x14ac:dyDescent="0.3">
      <c r="I278" s="89"/>
      <c r="J278" s="15"/>
      <c r="K278" s="29"/>
      <c r="L278" s="89"/>
      <c r="M278" s="58"/>
      <c r="N278" s="44"/>
      <c r="O278" s="44"/>
      <c r="P278" s="65"/>
    </row>
    <row r="279" spans="9:16" x14ac:dyDescent="0.3">
      <c r="I279" s="89"/>
      <c r="J279" s="15"/>
      <c r="K279" s="29"/>
      <c r="L279" s="89"/>
      <c r="M279" s="58"/>
      <c r="N279" s="44"/>
      <c r="O279" s="44"/>
      <c r="P279" s="65"/>
    </row>
    <row r="280" spans="9:16" x14ac:dyDescent="0.3">
      <c r="I280" s="89"/>
      <c r="J280" s="15"/>
      <c r="K280" s="29"/>
      <c r="L280" s="89"/>
      <c r="M280" s="58"/>
      <c r="N280" s="44"/>
      <c r="O280" s="44"/>
      <c r="P280" s="65"/>
    </row>
    <row r="281" spans="9:16" x14ac:dyDescent="0.3">
      <c r="I281" s="89"/>
      <c r="J281" s="15"/>
      <c r="K281" s="29"/>
      <c r="L281" s="89"/>
      <c r="M281" s="58"/>
      <c r="N281" s="44"/>
      <c r="O281" s="44"/>
      <c r="P281" s="65"/>
    </row>
    <row r="282" spans="9:16" x14ac:dyDescent="0.3">
      <c r="I282" s="89"/>
      <c r="J282" s="15"/>
      <c r="K282" s="29"/>
      <c r="L282" s="89"/>
      <c r="M282" s="58"/>
      <c r="N282" s="44"/>
      <c r="O282" s="44"/>
      <c r="P282" s="65"/>
    </row>
    <row r="283" spans="9:16" x14ac:dyDescent="0.3">
      <c r="I283" s="89"/>
      <c r="J283" s="15"/>
      <c r="K283" s="29"/>
      <c r="L283" s="89"/>
      <c r="M283" s="58"/>
      <c r="N283" s="44"/>
      <c r="O283" s="44"/>
      <c r="P283" s="65"/>
    </row>
    <row r="284" spans="9:16" x14ac:dyDescent="0.3">
      <c r="I284" s="89"/>
      <c r="J284" s="15"/>
      <c r="K284" s="29"/>
      <c r="L284" s="89"/>
      <c r="M284" s="58"/>
      <c r="N284" s="44"/>
      <c r="O284" s="44"/>
      <c r="P284" s="65"/>
    </row>
    <row r="285" spans="9:16" x14ac:dyDescent="0.3">
      <c r="I285" s="89"/>
      <c r="J285" s="15"/>
      <c r="K285" s="29"/>
      <c r="L285" s="89"/>
      <c r="M285" s="58"/>
      <c r="N285" s="44"/>
      <c r="O285" s="44"/>
      <c r="P285" s="65"/>
    </row>
    <row r="286" spans="9:16" x14ac:dyDescent="0.3">
      <c r="I286" s="89"/>
      <c r="J286" s="15"/>
      <c r="K286" s="29"/>
      <c r="L286" s="89"/>
      <c r="M286" s="58"/>
      <c r="N286" s="44"/>
      <c r="O286" s="44"/>
      <c r="P286" s="65"/>
    </row>
    <row r="287" spans="9:16" x14ac:dyDescent="0.3">
      <c r="I287" s="89"/>
      <c r="J287" s="15"/>
      <c r="K287" s="29"/>
      <c r="L287" s="89"/>
      <c r="M287" s="58"/>
      <c r="N287" s="44"/>
      <c r="O287" s="44"/>
      <c r="P287" s="65"/>
    </row>
    <row r="288" spans="9:16" x14ac:dyDescent="0.3">
      <c r="I288" s="89"/>
      <c r="J288" s="15"/>
      <c r="K288" s="29"/>
      <c r="L288" s="89"/>
      <c r="M288" s="58"/>
      <c r="N288" s="44"/>
      <c r="O288" s="44"/>
      <c r="P288" s="65"/>
    </row>
    <row r="289" spans="9:16" x14ac:dyDescent="0.3">
      <c r="I289" s="89"/>
      <c r="J289" s="15"/>
      <c r="K289" s="29"/>
      <c r="L289" s="89"/>
      <c r="M289" s="58"/>
      <c r="N289" s="44"/>
      <c r="O289" s="44"/>
      <c r="P289" s="65"/>
    </row>
    <row r="290" spans="9:16" x14ac:dyDescent="0.3">
      <c r="I290" s="89"/>
      <c r="J290" s="15"/>
      <c r="K290" s="29"/>
      <c r="L290" s="89"/>
      <c r="M290" s="58"/>
      <c r="N290" s="44"/>
      <c r="O290" s="44"/>
      <c r="P290" s="65"/>
    </row>
    <row r="291" spans="9:16" x14ac:dyDescent="0.3">
      <c r="I291" s="89"/>
      <c r="J291" s="15"/>
      <c r="K291" s="29"/>
      <c r="L291" s="89"/>
      <c r="M291" s="58"/>
      <c r="N291" s="44"/>
      <c r="O291" s="44"/>
      <c r="P291" s="65"/>
    </row>
    <row r="292" spans="9:16" x14ac:dyDescent="0.3">
      <c r="I292" s="89"/>
      <c r="J292" s="15"/>
      <c r="K292" s="29"/>
      <c r="L292" s="89"/>
      <c r="M292" s="58"/>
      <c r="N292" s="44"/>
      <c r="O292" s="44"/>
      <c r="P292" s="65"/>
    </row>
    <row r="293" spans="9:16" x14ac:dyDescent="0.3">
      <c r="I293" s="89"/>
      <c r="J293" s="15"/>
      <c r="K293" s="29"/>
      <c r="L293" s="89"/>
      <c r="M293" s="58"/>
      <c r="N293" s="44"/>
      <c r="O293" s="44"/>
      <c r="P293" s="65"/>
    </row>
    <row r="294" spans="9:16" x14ac:dyDescent="0.3">
      <c r="I294" s="89"/>
      <c r="J294" s="15"/>
      <c r="K294" s="29"/>
      <c r="L294" s="89"/>
      <c r="M294" s="58"/>
      <c r="N294" s="44"/>
      <c r="O294" s="44"/>
      <c r="P294" s="65"/>
    </row>
    <row r="295" spans="9:16" x14ac:dyDescent="0.3">
      <c r="I295" s="89"/>
      <c r="J295" s="15"/>
      <c r="K295" s="29"/>
      <c r="L295" s="89"/>
      <c r="M295" s="58"/>
      <c r="N295" s="44"/>
      <c r="O295" s="44"/>
      <c r="P295" s="65"/>
    </row>
    <row r="296" spans="9:16" x14ac:dyDescent="0.3">
      <c r="I296" s="89"/>
      <c r="J296" s="15"/>
      <c r="K296" s="29"/>
      <c r="L296" s="89"/>
      <c r="M296" s="58"/>
      <c r="N296" s="44"/>
      <c r="O296" s="44"/>
      <c r="P296" s="65"/>
    </row>
    <row r="297" spans="9:16" x14ac:dyDescent="0.3">
      <c r="I297" s="89"/>
      <c r="J297" s="15"/>
      <c r="K297" s="29"/>
      <c r="L297" s="89"/>
      <c r="M297" s="58"/>
      <c r="N297" s="44"/>
      <c r="O297" s="44"/>
      <c r="P297" s="65"/>
    </row>
    <row r="298" spans="9:16" x14ac:dyDescent="0.3">
      <c r="I298" s="89"/>
      <c r="J298" s="15"/>
      <c r="K298" s="29"/>
      <c r="L298" s="89"/>
      <c r="M298" s="58"/>
      <c r="N298" s="44"/>
      <c r="O298" s="44"/>
      <c r="P298" s="65"/>
    </row>
    <row r="299" spans="9:16" x14ac:dyDescent="0.3">
      <c r="I299" s="89"/>
      <c r="J299" s="15"/>
      <c r="K299" s="29"/>
      <c r="L299" s="89"/>
      <c r="M299" s="58"/>
      <c r="N299" s="44"/>
      <c r="O299" s="44"/>
      <c r="P299" s="65"/>
    </row>
    <row r="300" spans="9:16" x14ac:dyDescent="0.3">
      <c r="I300" s="89"/>
      <c r="J300" s="15"/>
      <c r="K300" s="29"/>
      <c r="L300" s="89"/>
      <c r="M300" s="58"/>
      <c r="N300" s="44"/>
      <c r="O300" s="44"/>
      <c r="P300" s="65"/>
    </row>
    <row r="301" spans="9:16" x14ac:dyDescent="0.3">
      <c r="I301" s="89"/>
      <c r="J301" s="15"/>
      <c r="K301" s="29"/>
      <c r="L301" s="89"/>
      <c r="M301" s="58"/>
      <c r="N301" s="44"/>
      <c r="O301" s="44"/>
      <c r="P301" s="65"/>
    </row>
    <row r="302" spans="9:16" x14ac:dyDescent="0.3">
      <c r="I302" s="89"/>
      <c r="J302" s="15"/>
      <c r="K302" s="29"/>
      <c r="L302" s="89"/>
      <c r="M302" s="58"/>
      <c r="N302" s="44"/>
      <c r="O302" s="44"/>
      <c r="P302" s="65"/>
    </row>
    <row r="303" spans="9:16" x14ac:dyDescent="0.3">
      <c r="I303" s="89"/>
      <c r="J303" s="15"/>
      <c r="K303" s="29"/>
      <c r="L303" s="89"/>
      <c r="M303" s="58"/>
      <c r="N303" s="44"/>
      <c r="O303" s="44"/>
      <c r="P303" s="65"/>
    </row>
    <row r="304" spans="9:16" x14ac:dyDescent="0.3">
      <c r="I304" s="89"/>
      <c r="J304" s="15"/>
      <c r="K304" s="29"/>
      <c r="L304" s="89"/>
      <c r="M304" s="58"/>
      <c r="N304" s="44"/>
      <c r="O304" s="44"/>
      <c r="P304" s="65"/>
    </row>
    <row r="305" spans="9:16" x14ac:dyDescent="0.3">
      <c r="I305" s="89"/>
      <c r="J305" s="15"/>
      <c r="K305" s="29"/>
      <c r="L305" s="89"/>
      <c r="M305" s="58"/>
      <c r="N305" s="44"/>
      <c r="O305" s="44"/>
      <c r="P305" s="65"/>
    </row>
    <row r="306" spans="9:16" x14ac:dyDescent="0.3">
      <c r="I306" s="89"/>
      <c r="J306" s="15"/>
      <c r="K306" s="29"/>
      <c r="L306" s="89"/>
      <c r="M306" s="58"/>
      <c r="N306" s="44"/>
      <c r="O306" s="44"/>
      <c r="P306" s="65"/>
    </row>
    <row r="307" spans="9:16" x14ac:dyDescent="0.3">
      <c r="I307" s="89"/>
      <c r="J307" s="15"/>
      <c r="K307" s="29"/>
      <c r="L307" s="89"/>
      <c r="M307" s="58"/>
      <c r="N307" s="44"/>
      <c r="O307" s="44"/>
      <c r="P307" s="65"/>
    </row>
    <row r="308" spans="9:16" x14ac:dyDescent="0.3">
      <c r="I308" s="89"/>
      <c r="J308" s="15"/>
      <c r="K308" s="29"/>
      <c r="L308" s="89"/>
      <c r="M308" s="58"/>
      <c r="N308" s="44"/>
      <c r="O308" s="44"/>
      <c r="P308" s="65"/>
    </row>
    <row r="309" spans="9:16" x14ac:dyDescent="0.3">
      <c r="I309" s="89"/>
      <c r="J309" s="15"/>
      <c r="K309" s="29"/>
      <c r="L309" s="89"/>
      <c r="M309" s="58"/>
      <c r="N309" s="44"/>
      <c r="O309" s="44"/>
      <c r="P309" s="65"/>
    </row>
    <row r="310" spans="9:16" x14ac:dyDescent="0.3">
      <c r="I310" s="89"/>
      <c r="J310" s="15"/>
      <c r="K310" s="29"/>
      <c r="L310" s="89"/>
      <c r="M310" s="58"/>
      <c r="N310" s="44"/>
      <c r="O310" s="44"/>
      <c r="P310" s="65"/>
    </row>
    <row r="311" spans="9:16" x14ac:dyDescent="0.3">
      <c r="I311" s="89"/>
      <c r="J311" s="15"/>
      <c r="K311" s="29"/>
      <c r="L311" s="89"/>
      <c r="M311" s="58"/>
      <c r="N311" s="44"/>
      <c r="O311" s="44"/>
      <c r="P311" s="65"/>
    </row>
    <row r="312" spans="9:16" x14ac:dyDescent="0.3">
      <c r="I312" s="89"/>
      <c r="J312" s="15"/>
      <c r="K312" s="29"/>
      <c r="L312" s="89"/>
      <c r="M312" s="58"/>
      <c r="N312" s="44"/>
      <c r="O312" s="44"/>
      <c r="P312" s="65"/>
    </row>
    <row r="313" spans="9:16" x14ac:dyDescent="0.3">
      <c r="I313" s="89"/>
      <c r="J313" s="15"/>
      <c r="K313" s="29"/>
      <c r="L313" s="89"/>
      <c r="M313" s="58"/>
      <c r="N313" s="44"/>
      <c r="O313" s="44"/>
      <c r="P313" s="65"/>
    </row>
    <row r="314" spans="9:16" x14ac:dyDescent="0.3">
      <c r="I314" s="89"/>
      <c r="J314" s="15"/>
      <c r="K314" s="29"/>
      <c r="L314" s="89"/>
      <c r="M314" s="58"/>
      <c r="N314" s="44"/>
      <c r="O314" s="44"/>
      <c r="P314" s="65"/>
    </row>
    <row r="315" spans="9:16" x14ac:dyDescent="0.3">
      <c r="I315" s="89"/>
      <c r="J315" s="15"/>
      <c r="K315" s="29"/>
      <c r="L315" s="89"/>
      <c r="M315" s="58"/>
      <c r="N315" s="44"/>
      <c r="O315" s="44"/>
      <c r="P315" s="65"/>
    </row>
    <row r="316" spans="9:16" x14ac:dyDescent="0.3">
      <c r="I316" s="89"/>
      <c r="J316" s="15"/>
      <c r="K316" s="29"/>
      <c r="L316" s="89"/>
      <c r="M316" s="58"/>
      <c r="N316" s="44"/>
      <c r="O316" s="44"/>
      <c r="P316" s="65"/>
    </row>
    <row r="317" spans="9:16" x14ac:dyDescent="0.3">
      <c r="I317" s="89"/>
      <c r="J317" s="15"/>
      <c r="K317" s="29"/>
      <c r="L317" s="89"/>
      <c r="M317" s="58"/>
      <c r="N317" s="44"/>
      <c r="O317" s="44"/>
      <c r="P317" s="65"/>
    </row>
    <row r="318" spans="9:16" x14ac:dyDescent="0.3">
      <c r="I318" s="89"/>
      <c r="J318" s="15"/>
      <c r="K318" s="29"/>
      <c r="L318" s="89"/>
      <c r="M318" s="58"/>
      <c r="N318" s="44"/>
      <c r="O318" s="44"/>
      <c r="P318" s="65"/>
    </row>
    <row r="319" spans="9:16" x14ac:dyDescent="0.3">
      <c r="I319" s="89"/>
      <c r="J319" s="15"/>
      <c r="K319" s="29"/>
      <c r="L319" s="89"/>
      <c r="M319" s="58"/>
      <c r="N319" s="44"/>
      <c r="O319" s="44"/>
      <c r="P319" s="65"/>
    </row>
    <row r="320" spans="9:16" x14ac:dyDescent="0.3">
      <c r="I320" s="89"/>
      <c r="J320" s="15"/>
      <c r="K320" s="29"/>
      <c r="L320" s="89"/>
      <c r="M320" s="58"/>
      <c r="N320" s="44"/>
      <c r="O320" s="44"/>
      <c r="P320" s="65"/>
    </row>
    <row r="321" spans="9:16" x14ac:dyDescent="0.3">
      <c r="I321" s="89"/>
      <c r="J321" s="15"/>
      <c r="K321" s="29"/>
      <c r="L321" s="89"/>
      <c r="M321" s="58"/>
      <c r="N321" s="44"/>
      <c r="O321" s="44"/>
      <c r="P321" s="65"/>
    </row>
    <row r="322" spans="9:16" x14ac:dyDescent="0.3">
      <c r="I322" s="89"/>
      <c r="J322" s="15"/>
      <c r="K322" s="29"/>
      <c r="L322" s="89"/>
      <c r="M322" s="58"/>
      <c r="N322" s="44"/>
      <c r="O322" s="44"/>
      <c r="P322" s="65"/>
    </row>
    <row r="323" spans="9:16" x14ac:dyDescent="0.3">
      <c r="I323" s="89"/>
      <c r="J323" s="15"/>
      <c r="K323" s="29"/>
      <c r="L323" s="89"/>
      <c r="M323" s="58"/>
      <c r="N323" s="44"/>
      <c r="O323" s="44"/>
      <c r="P323" s="65"/>
    </row>
    <row r="324" spans="9:16" x14ac:dyDescent="0.3">
      <c r="I324" s="89"/>
      <c r="J324" s="15"/>
      <c r="K324" s="29"/>
      <c r="L324" s="89"/>
      <c r="M324" s="58"/>
      <c r="N324" s="44"/>
      <c r="O324" s="44"/>
      <c r="P324" s="65"/>
    </row>
    <row r="325" spans="9:16" x14ac:dyDescent="0.3">
      <c r="I325" s="89"/>
      <c r="J325" s="15"/>
      <c r="K325" s="29"/>
      <c r="L325" s="89"/>
      <c r="M325" s="58"/>
      <c r="N325" s="44"/>
      <c r="O325" s="44"/>
      <c r="P325" s="65"/>
    </row>
    <row r="326" spans="9:16" x14ac:dyDescent="0.3">
      <c r="I326" s="89"/>
      <c r="J326" s="15"/>
      <c r="K326" s="29"/>
      <c r="L326" s="89"/>
      <c r="M326" s="58"/>
      <c r="N326" s="44"/>
      <c r="O326" s="44"/>
      <c r="P326" s="65"/>
    </row>
    <row r="327" spans="9:16" x14ac:dyDescent="0.3">
      <c r="I327" s="89"/>
      <c r="J327" s="15"/>
      <c r="K327" s="29"/>
      <c r="L327" s="89"/>
      <c r="M327" s="58"/>
      <c r="N327" s="44"/>
      <c r="O327" s="44"/>
      <c r="P327" s="65"/>
    </row>
    <row r="328" spans="9:16" x14ac:dyDescent="0.3">
      <c r="I328" s="89"/>
      <c r="J328" s="15"/>
      <c r="K328" s="29"/>
      <c r="L328" s="89"/>
      <c r="M328" s="58"/>
      <c r="N328" s="44"/>
      <c r="O328" s="44"/>
      <c r="P328" s="65"/>
    </row>
    <row r="329" spans="9:16" x14ac:dyDescent="0.3">
      <c r="I329" s="89"/>
      <c r="J329" s="15"/>
      <c r="K329" s="29"/>
      <c r="L329" s="89"/>
      <c r="M329" s="58"/>
      <c r="N329" s="44"/>
      <c r="O329" s="44"/>
      <c r="P329" s="65"/>
    </row>
    <row r="330" spans="9:16" x14ac:dyDescent="0.3">
      <c r="I330" s="89"/>
      <c r="J330" s="15"/>
      <c r="K330" s="29"/>
      <c r="L330" s="89"/>
      <c r="M330" s="58"/>
      <c r="N330" s="44"/>
      <c r="O330" s="44"/>
      <c r="P330" s="65"/>
    </row>
    <row r="331" spans="9:16" x14ac:dyDescent="0.3">
      <c r="I331" s="89"/>
      <c r="J331" s="15"/>
      <c r="K331" s="29"/>
      <c r="L331" s="89"/>
      <c r="M331" s="58"/>
      <c r="N331" s="44"/>
      <c r="O331" s="44"/>
      <c r="P331" s="65"/>
    </row>
    <row r="332" spans="9:16" x14ac:dyDescent="0.3">
      <c r="I332" s="89"/>
      <c r="J332" s="15"/>
      <c r="K332" s="29"/>
      <c r="L332" s="89"/>
      <c r="M332" s="58"/>
      <c r="N332" s="44"/>
      <c r="O332" s="44"/>
      <c r="P332" s="65"/>
    </row>
    <row r="333" spans="9:16" x14ac:dyDescent="0.3">
      <c r="I333" s="89"/>
      <c r="J333" s="15"/>
      <c r="K333" s="29"/>
      <c r="L333" s="89"/>
      <c r="M333" s="58"/>
      <c r="N333" s="44"/>
      <c r="O333" s="44"/>
      <c r="P333" s="65"/>
    </row>
    <row r="334" spans="9:16" x14ac:dyDescent="0.3">
      <c r="I334" s="89"/>
      <c r="J334" s="15"/>
      <c r="K334" s="29"/>
      <c r="L334" s="89"/>
      <c r="M334" s="58"/>
      <c r="N334" s="44"/>
      <c r="O334" s="44"/>
      <c r="P334" s="65"/>
    </row>
    <row r="335" spans="9:16" x14ac:dyDescent="0.3">
      <c r="I335" s="89"/>
      <c r="J335" s="15"/>
      <c r="K335" s="29"/>
      <c r="L335" s="89"/>
      <c r="M335" s="58"/>
      <c r="N335" s="44"/>
      <c r="O335" s="44"/>
      <c r="P335" s="65"/>
    </row>
    <row r="336" spans="9:16" x14ac:dyDescent="0.3">
      <c r="I336" s="89"/>
      <c r="J336" s="15"/>
      <c r="K336" s="29"/>
      <c r="L336" s="89"/>
      <c r="M336" s="58"/>
      <c r="N336" s="44"/>
      <c r="O336" s="44"/>
      <c r="P336" s="65"/>
    </row>
    <row r="337" spans="9:16" x14ac:dyDescent="0.3">
      <c r="I337" s="89"/>
      <c r="J337" s="15"/>
      <c r="K337" s="29"/>
      <c r="L337" s="89"/>
      <c r="M337" s="58"/>
      <c r="N337" s="44"/>
      <c r="O337" s="44"/>
      <c r="P337" s="65"/>
    </row>
    <row r="338" spans="9:16" x14ac:dyDescent="0.3">
      <c r="I338" s="89"/>
      <c r="J338" s="15"/>
      <c r="K338" s="29"/>
      <c r="L338" s="89"/>
      <c r="M338" s="58"/>
      <c r="N338" s="44"/>
      <c r="O338" s="44"/>
      <c r="P338" s="65"/>
    </row>
    <row r="339" spans="9:16" x14ac:dyDescent="0.3">
      <c r="I339" s="89"/>
      <c r="J339" s="15"/>
      <c r="K339" s="29"/>
      <c r="L339" s="89"/>
      <c r="M339" s="58"/>
      <c r="N339" s="44"/>
      <c r="O339" s="44"/>
      <c r="P339" s="65"/>
    </row>
    <row r="340" spans="9:16" x14ac:dyDescent="0.3">
      <c r="I340" s="89"/>
      <c r="J340" s="15"/>
      <c r="K340" s="29"/>
      <c r="L340" s="89"/>
      <c r="M340" s="58"/>
      <c r="N340" s="44"/>
      <c r="O340" s="44"/>
      <c r="P340" s="65"/>
    </row>
    <row r="341" spans="9:16" x14ac:dyDescent="0.3">
      <c r="I341" s="89"/>
      <c r="J341" s="15"/>
      <c r="K341" s="29"/>
      <c r="L341" s="89"/>
      <c r="M341" s="58"/>
      <c r="N341" s="44"/>
      <c r="O341" s="44"/>
      <c r="P341" s="65"/>
    </row>
    <row r="342" spans="9:16" x14ac:dyDescent="0.3">
      <c r="I342" s="89"/>
      <c r="J342" s="15"/>
      <c r="K342" s="29"/>
      <c r="L342" s="89"/>
      <c r="M342" s="58"/>
      <c r="N342" s="44"/>
      <c r="O342" s="44"/>
      <c r="P342" s="65"/>
    </row>
    <row r="343" spans="9:16" x14ac:dyDescent="0.3">
      <c r="I343" s="89"/>
      <c r="J343" s="15"/>
      <c r="K343" s="29"/>
      <c r="L343" s="89"/>
      <c r="M343" s="58"/>
      <c r="N343" s="44"/>
      <c r="O343" s="44"/>
      <c r="P343" s="65"/>
    </row>
    <row r="344" spans="9:16" x14ac:dyDescent="0.3">
      <c r="I344" s="89"/>
      <c r="J344" s="15"/>
      <c r="K344" s="29"/>
      <c r="L344" s="89"/>
      <c r="M344" s="58"/>
      <c r="N344" s="44"/>
      <c r="O344" s="44"/>
      <c r="P344" s="65"/>
    </row>
    <row r="345" spans="9:16" x14ac:dyDescent="0.3">
      <c r="I345" s="89"/>
      <c r="J345" s="15"/>
      <c r="K345" s="29"/>
      <c r="L345" s="89"/>
      <c r="M345" s="58"/>
      <c r="N345" s="44"/>
      <c r="O345" s="44"/>
      <c r="P345" s="44"/>
    </row>
    <row r="346" spans="9:16" x14ac:dyDescent="0.3">
      <c r="I346" s="89"/>
      <c r="J346" s="15"/>
      <c r="K346" s="29"/>
      <c r="L346" s="89"/>
      <c r="M346" s="58"/>
      <c r="N346" s="44"/>
      <c r="O346" s="44"/>
      <c r="P346" s="65"/>
    </row>
    <row r="347" spans="9:16" x14ac:dyDescent="0.3">
      <c r="I347" s="89"/>
      <c r="J347" s="15"/>
      <c r="K347" s="29"/>
      <c r="L347" s="89"/>
      <c r="M347" s="58"/>
      <c r="N347" s="44"/>
      <c r="O347" s="44"/>
      <c r="P347" s="65"/>
    </row>
    <row r="348" spans="9:16" x14ac:dyDescent="0.3">
      <c r="I348" s="89"/>
      <c r="J348" s="15"/>
      <c r="K348" s="29"/>
      <c r="L348" s="89"/>
      <c r="M348" s="58"/>
      <c r="N348" s="44"/>
      <c r="O348" s="44"/>
      <c r="P348" s="65"/>
    </row>
    <row r="349" spans="9:16" x14ac:dyDescent="0.3">
      <c r="I349" s="89"/>
      <c r="J349" s="15"/>
      <c r="K349" s="29"/>
      <c r="L349" s="89"/>
      <c r="M349" s="58"/>
      <c r="N349" s="44"/>
      <c r="O349" s="44"/>
      <c r="P349" s="65"/>
    </row>
    <row r="350" spans="9:16" x14ac:dyDescent="0.3">
      <c r="I350" s="89"/>
      <c r="J350" s="15"/>
      <c r="K350" s="29"/>
      <c r="L350" s="89"/>
      <c r="M350" s="58"/>
      <c r="N350" s="44"/>
      <c r="O350" s="44"/>
      <c r="P350" s="65"/>
    </row>
    <row r="351" spans="9:16" x14ac:dyDescent="0.3">
      <c r="I351" s="89"/>
      <c r="J351" s="15"/>
      <c r="K351" s="29"/>
      <c r="L351" s="89"/>
      <c r="M351" s="58"/>
      <c r="N351" s="44"/>
      <c r="O351" s="44"/>
      <c r="P351" s="65"/>
    </row>
    <row r="352" spans="9:16" x14ac:dyDescent="0.3">
      <c r="I352" s="89"/>
      <c r="J352" s="15"/>
      <c r="K352" s="29"/>
      <c r="L352" s="89"/>
      <c r="M352" s="58"/>
      <c r="N352" s="44"/>
      <c r="O352" s="44"/>
      <c r="P352" s="65"/>
    </row>
    <row r="353" spans="9:16" x14ac:dyDescent="0.3">
      <c r="I353" s="89"/>
      <c r="J353" s="15"/>
      <c r="K353" s="29"/>
      <c r="L353" s="89"/>
      <c r="M353" s="58"/>
      <c r="N353" s="44"/>
      <c r="O353" s="44"/>
      <c r="P353" s="65"/>
    </row>
    <row r="354" spans="9:16" x14ac:dyDescent="0.3">
      <c r="I354" s="89"/>
      <c r="J354" s="15"/>
      <c r="K354" s="29"/>
      <c r="L354" s="89"/>
      <c r="M354" s="58"/>
      <c r="N354" s="44"/>
      <c r="O354" s="44"/>
      <c r="P354" s="65"/>
    </row>
    <row r="355" spans="9:16" x14ac:dyDescent="0.3">
      <c r="I355" s="89"/>
      <c r="J355" s="15"/>
      <c r="K355" s="29"/>
      <c r="L355" s="89"/>
      <c r="M355" s="58"/>
      <c r="N355" s="44"/>
      <c r="O355" s="44"/>
      <c r="P355" s="65"/>
    </row>
    <row r="356" spans="9:16" x14ac:dyDescent="0.3">
      <c r="I356" s="89"/>
      <c r="J356" s="15"/>
      <c r="K356" s="29"/>
      <c r="L356" s="89"/>
      <c r="M356" s="58"/>
      <c r="N356" s="44"/>
      <c r="O356" s="44"/>
      <c r="P356" s="65"/>
    </row>
    <row r="357" spans="9:16" x14ac:dyDescent="0.3">
      <c r="I357" s="89"/>
      <c r="J357" s="15"/>
      <c r="K357" s="29"/>
      <c r="L357" s="89"/>
      <c r="M357" s="58"/>
      <c r="N357" s="44"/>
      <c r="O357" s="44"/>
      <c r="P357" s="65"/>
    </row>
    <row r="358" spans="9:16" x14ac:dyDescent="0.3">
      <c r="I358" s="89"/>
      <c r="J358" s="15"/>
      <c r="K358" s="29"/>
      <c r="L358" s="89"/>
      <c r="M358" s="58"/>
      <c r="N358" s="44"/>
      <c r="O358" s="44"/>
      <c r="P358" s="65"/>
    </row>
    <row r="359" spans="9:16" x14ac:dyDescent="0.3">
      <c r="I359" s="89"/>
      <c r="J359" s="15"/>
      <c r="K359" s="29"/>
      <c r="L359" s="89"/>
      <c r="M359" s="58"/>
      <c r="N359" s="44"/>
      <c r="O359" s="44"/>
      <c r="P359" s="65"/>
    </row>
    <row r="360" spans="9:16" x14ac:dyDescent="0.3">
      <c r="I360" s="89"/>
      <c r="J360" s="15"/>
      <c r="K360" s="29"/>
      <c r="L360" s="89"/>
      <c r="M360" s="58"/>
      <c r="N360" s="44"/>
      <c r="O360" s="44"/>
      <c r="P360" s="65"/>
    </row>
    <row r="361" spans="9:16" x14ac:dyDescent="0.3">
      <c r="I361" s="89"/>
      <c r="J361" s="15"/>
      <c r="K361" s="29"/>
      <c r="L361" s="89"/>
      <c r="M361" s="58"/>
      <c r="N361" s="44"/>
      <c r="O361" s="44"/>
      <c r="P361" s="65"/>
    </row>
    <row r="362" spans="9:16" x14ac:dyDescent="0.3">
      <c r="I362" s="89"/>
      <c r="J362" s="15"/>
      <c r="K362" s="29"/>
      <c r="L362" s="89"/>
      <c r="M362" s="58"/>
      <c r="N362" s="44"/>
      <c r="O362" s="44"/>
      <c r="P362" s="65"/>
    </row>
    <row r="363" spans="9:16" x14ac:dyDescent="0.3">
      <c r="I363" s="89"/>
      <c r="J363" s="15"/>
      <c r="K363" s="29"/>
      <c r="L363" s="89"/>
      <c r="M363" s="58"/>
      <c r="N363" s="44"/>
      <c r="O363" s="44"/>
      <c r="P363" s="65"/>
    </row>
    <row r="364" spans="9:16" x14ac:dyDescent="0.3">
      <c r="I364" s="89"/>
      <c r="J364" s="15"/>
      <c r="K364" s="29"/>
      <c r="L364" s="89"/>
      <c r="M364" s="58"/>
      <c r="N364" s="44"/>
      <c r="O364" s="44"/>
      <c r="P364" s="65"/>
    </row>
    <row r="365" spans="9:16" x14ac:dyDescent="0.3">
      <c r="I365" s="89"/>
      <c r="J365" s="15"/>
      <c r="K365" s="29"/>
      <c r="L365" s="89"/>
      <c r="M365" s="58"/>
      <c r="N365" s="44"/>
      <c r="O365" s="44"/>
      <c r="P365" s="65"/>
    </row>
    <row r="366" spans="9:16" x14ac:dyDescent="0.3">
      <c r="I366" s="89"/>
      <c r="J366" s="15"/>
      <c r="K366" s="29"/>
      <c r="L366" s="89"/>
      <c r="M366" s="58"/>
      <c r="N366" s="44"/>
      <c r="O366" s="44"/>
      <c r="P366" s="65"/>
    </row>
    <row r="367" spans="9:16" x14ac:dyDescent="0.3">
      <c r="I367" s="89"/>
      <c r="J367" s="15"/>
      <c r="K367" s="29"/>
      <c r="L367" s="89"/>
      <c r="M367" s="58"/>
      <c r="N367" s="44"/>
      <c r="O367" s="44"/>
      <c r="P367" s="65"/>
    </row>
    <row r="368" spans="9:16" x14ac:dyDescent="0.3">
      <c r="I368" s="89"/>
      <c r="J368" s="15"/>
      <c r="K368" s="29"/>
      <c r="L368" s="89"/>
      <c r="M368" s="58"/>
      <c r="N368" s="44"/>
      <c r="O368" s="44"/>
      <c r="P368" s="65"/>
    </row>
    <row r="369" spans="9:16" x14ac:dyDescent="0.3">
      <c r="I369" s="89"/>
      <c r="J369" s="15"/>
      <c r="K369" s="29"/>
      <c r="L369" s="89"/>
      <c r="M369" s="58"/>
      <c r="N369" s="44"/>
      <c r="O369" s="44"/>
      <c r="P369" s="65"/>
    </row>
    <row r="370" spans="9:16" x14ac:dyDescent="0.3">
      <c r="I370" s="89"/>
      <c r="J370" s="15"/>
      <c r="K370" s="29"/>
      <c r="L370" s="89"/>
      <c r="M370" s="58"/>
      <c r="N370" s="44"/>
      <c r="O370" s="44"/>
      <c r="P370" s="65"/>
    </row>
    <row r="371" spans="9:16" x14ac:dyDescent="0.3">
      <c r="I371" s="89"/>
      <c r="J371" s="15"/>
      <c r="K371" s="29"/>
      <c r="L371" s="89"/>
      <c r="M371" s="58"/>
      <c r="N371" s="44"/>
      <c r="O371" s="44"/>
      <c r="P371" s="65"/>
    </row>
    <row r="372" spans="9:16" x14ac:dyDescent="0.3">
      <c r="I372" s="89"/>
      <c r="J372" s="15"/>
      <c r="K372" s="29"/>
      <c r="L372" s="89"/>
      <c r="M372" s="58"/>
      <c r="N372" s="44"/>
      <c r="O372" s="44"/>
      <c r="P372" s="65"/>
    </row>
    <row r="373" spans="9:16" x14ac:dyDescent="0.3">
      <c r="I373" s="89"/>
      <c r="J373" s="15"/>
      <c r="K373" s="29"/>
      <c r="L373" s="89"/>
      <c r="M373" s="58"/>
      <c r="N373" s="44"/>
      <c r="O373" s="44"/>
      <c r="P373" s="65"/>
    </row>
    <row r="374" spans="9:16" x14ac:dyDescent="0.3">
      <c r="I374" s="89"/>
      <c r="J374" s="15"/>
      <c r="K374" s="29"/>
      <c r="L374" s="89"/>
      <c r="M374" s="58"/>
      <c r="N374" s="44"/>
      <c r="O374" s="44"/>
      <c r="P374" s="65"/>
    </row>
    <row r="375" spans="9:16" x14ac:dyDescent="0.3">
      <c r="I375" s="89"/>
      <c r="J375" s="15"/>
      <c r="K375" s="29"/>
      <c r="L375" s="89"/>
      <c r="M375" s="58"/>
      <c r="N375" s="44"/>
      <c r="O375" s="44"/>
      <c r="P375" s="65"/>
    </row>
    <row r="376" spans="9:16" x14ac:dyDescent="0.3">
      <c r="I376" s="89"/>
      <c r="J376" s="15"/>
      <c r="K376" s="29"/>
      <c r="L376" s="89"/>
      <c r="M376" s="58"/>
      <c r="N376" s="44"/>
      <c r="O376" s="44"/>
      <c r="P376" s="65"/>
    </row>
    <row r="377" spans="9:16" x14ac:dyDescent="0.3">
      <c r="I377" s="89"/>
      <c r="J377" s="15"/>
      <c r="K377" s="29"/>
      <c r="L377" s="89"/>
      <c r="M377" s="58"/>
      <c r="N377" s="44"/>
      <c r="O377" s="44"/>
      <c r="P377" s="65"/>
    </row>
    <row r="378" spans="9:16" x14ac:dyDescent="0.3">
      <c r="I378" s="89"/>
      <c r="J378" s="15"/>
      <c r="K378" s="29"/>
      <c r="L378" s="89"/>
      <c r="M378" s="58"/>
      <c r="N378" s="44"/>
      <c r="O378" s="44"/>
      <c r="P378" s="65"/>
    </row>
    <row r="379" spans="9:16" x14ac:dyDescent="0.3">
      <c r="I379" s="89"/>
      <c r="J379" s="15"/>
      <c r="K379" s="29"/>
      <c r="L379" s="89"/>
      <c r="M379" s="58"/>
      <c r="N379" s="44"/>
      <c r="O379" s="44"/>
      <c r="P379" s="65"/>
    </row>
    <row r="380" spans="9:16" x14ac:dyDescent="0.3">
      <c r="I380" s="89"/>
      <c r="J380" s="15"/>
      <c r="K380" s="29"/>
      <c r="L380" s="89"/>
      <c r="M380" s="58"/>
      <c r="N380" s="44"/>
      <c r="O380" s="44"/>
      <c r="P380" s="65"/>
    </row>
    <row r="381" spans="9:16" x14ac:dyDescent="0.3">
      <c r="I381" s="89"/>
      <c r="J381" s="15"/>
      <c r="K381" s="29"/>
      <c r="L381" s="89"/>
      <c r="M381" s="58"/>
      <c r="N381" s="44"/>
      <c r="O381" s="44"/>
      <c r="P381" s="65"/>
    </row>
    <row r="382" spans="9:16" x14ac:dyDescent="0.3">
      <c r="I382" s="89"/>
      <c r="J382" s="15"/>
      <c r="K382" s="29"/>
      <c r="L382" s="89"/>
      <c r="M382" s="58"/>
      <c r="N382" s="44"/>
      <c r="O382" s="44"/>
      <c r="P382" s="65"/>
    </row>
    <row r="383" spans="9:16" x14ac:dyDescent="0.3">
      <c r="I383" s="89"/>
      <c r="J383" s="15"/>
      <c r="K383" s="29"/>
      <c r="L383" s="89"/>
      <c r="M383" s="58"/>
      <c r="N383" s="44"/>
      <c r="O383" s="44"/>
      <c r="P383" s="65"/>
    </row>
    <row r="384" spans="9:16" x14ac:dyDescent="0.3">
      <c r="I384" s="89"/>
      <c r="J384" s="15"/>
      <c r="K384" s="29"/>
      <c r="L384" s="89"/>
      <c r="M384" s="58"/>
      <c r="N384" s="44"/>
      <c r="O384" s="44"/>
      <c r="P384" s="65"/>
    </row>
    <row r="385" spans="9:16" x14ac:dyDescent="0.3">
      <c r="I385" s="89"/>
      <c r="J385" s="15"/>
      <c r="K385" s="29"/>
      <c r="L385" s="89"/>
      <c r="M385" s="58"/>
      <c r="N385" s="44"/>
      <c r="O385" s="44"/>
      <c r="P385" s="65"/>
    </row>
    <row r="386" spans="9:16" x14ac:dyDescent="0.3">
      <c r="I386" s="89"/>
      <c r="J386" s="15"/>
      <c r="K386" s="29"/>
      <c r="L386" s="89"/>
      <c r="M386" s="58"/>
      <c r="N386" s="44"/>
      <c r="O386" s="44"/>
      <c r="P386" s="65"/>
    </row>
    <row r="387" spans="9:16" x14ac:dyDescent="0.3">
      <c r="I387" s="89"/>
      <c r="J387" s="15"/>
      <c r="K387" s="29"/>
      <c r="L387" s="89"/>
      <c r="M387" s="58"/>
      <c r="N387" s="44"/>
      <c r="O387" s="44"/>
      <c r="P387" s="65"/>
    </row>
    <row r="388" spans="9:16" x14ac:dyDescent="0.3">
      <c r="I388" s="89"/>
      <c r="J388" s="15"/>
      <c r="K388" s="29"/>
      <c r="L388" s="89"/>
      <c r="M388" s="58"/>
      <c r="N388" s="44"/>
      <c r="O388" s="44"/>
      <c r="P388" s="65"/>
    </row>
    <row r="389" spans="9:16" x14ac:dyDescent="0.3">
      <c r="I389" s="89"/>
      <c r="J389" s="15"/>
      <c r="K389" s="29"/>
      <c r="L389" s="89"/>
      <c r="M389" s="58"/>
      <c r="N389" s="44"/>
      <c r="O389" s="44"/>
      <c r="P389" s="65"/>
    </row>
    <row r="390" spans="9:16" x14ac:dyDescent="0.3">
      <c r="I390" s="89"/>
      <c r="J390" s="15"/>
      <c r="K390" s="29"/>
      <c r="L390" s="89"/>
      <c r="M390" s="58"/>
      <c r="N390" s="44"/>
      <c r="O390" s="44"/>
      <c r="P390" s="65"/>
    </row>
    <row r="391" spans="9:16" x14ac:dyDescent="0.3">
      <c r="I391" s="89"/>
      <c r="J391" s="15"/>
      <c r="K391" s="29"/>
      <c r="L391" s="89"/>
      <c r="M391" s="58"/>
      <c r="N391" s="44"/>
      <c r="O391" s="44"/>
      <c r="P391" s="65"/>
    </row>
    <row r="392" spans="9:16" x14ac:dyDescent="0.3">
      <c r="I392" s="89"/>
      <c r="J392" s="15"/>
      <c r="K392" s="29"/>
      <c r="L392" s="89"/>
      <c r="M392" s="58"/>
      <c r="N392" s="44"/>
      <c r="O392" s="44"/>
      <c r="P392" s="65"/>
    </row>
    <row r="393" spans="9:16" x14ac:dyDescent="0.3">
      <c r="I393" s="89"/>
      <c r="J393" s="15"/>
      <c r="K393" s="29"/>
      <c r="L393" s="89"/>
      <c r="M393" s="58"/>
      <c r="N393" s="44"/>
      <c r="O393" s="44"/>
      <c r="P393" s="65"/>
    </row>
    <row r="394" spans="9:16" x14ac:dyDescent="0.3">
      <c r="I394" s="89"/>
      <c r="J394" s="15"/>
      <c r="K394" s="29"/>
      <c r="L394" s="89"/>
      <c r="M394" s="58"/>
      <c r="N394" s="44"/>
      <c r="O394" s="44"/>
      <c r="P394" s="65"/>
    </row>
    <row r="395" spans="9:16" x14ac:dyDescent="0.3">
      <c r="I395" s="89"/>
      <c r="J395" s="15"/>
      <c r="K395" s="29"/>
      <c r="L395" s="89"/>
      <c r="M395" s="58"/>
      <c r="N395" s="44"/>
      <c r="O395" s="44"/>
      <c r="P395" s="65"/>
    </row>
    <row r="396" spans="9:16" x14ac:dyDescent="0.3">
      <c r="I396" s="89"/>
      <c r="J396" s="15"/>
      <c r="K396" s="29"/>
      <c r="L396" s="89"/>
      <c r="M396" s="58"/>
      <c r="N396" s="44"/>
      <c r="O396" s="44"/>
      <c r="P396" s="65"/>
    </row>
    <row r="397" spans="9:16" x14ac:dyDescent="0.3">
      <c r="I397" s="89"/>
      <c r="J397" s="15"/>
      <c r="K397" s="29"/>
      <c r="L397" s="89"/>
      <c r="M397" s="58"/>
      <c r="N397" s="44"/>
      <c r="O397" s="44"/>
      <c r="P397" s="65"/>
    </row>
    <row r="398" spans="9:16" x14ac:dyDescent="0.3">
      <c r="I398" s="89"/>
      <c r="J398" s="15"/>
      <c r="K398" s="29"/>
      <c r="L398" s="89"/>
      <c r="M398" s="58"/>
      <c r="N398" s="44"/>
      <c r="O398" s="44"/>
      <c r="P398" s="65"/>
    </row>
    <row r="399" spans="9:16" x14ac:dyDescent="0.3">
      <c r="I399" s="89"/>
      <c r="J399" s="15"/>
      <c r="K399" s="29"/>
      <c r="L399" s="89"/>
      <c r="M399" s="58"/>
      <c r="N399" s="44"/>
      <c r="O399" s="44"/>
      <c r="P399" s="65"/>
    </row>
    <row r="400" spans="9:16" x14ac:dyDescent="0.3">
      <c r="I400" s="89"/>
      <c r="J400" s="15"/>
      <c r="K400" s="29"/>
      <c r="L400" s="89"/>
      <c r="M400" s="58"/>
      <c r="N400" s="44"/>
      <c r="O400" s="44"/>
      <c r="P400" s="65"/>
    </row>
    <row r="401" spans="9:16" x14ac:dyDescent="0.3">
      <c r="I401" s="89"/>
      <c r="J401" s="15"/>
      <c r="K401" s="29"/>
      <c r="L401" s="89"/>
      <c r="M401" s="58"/>
      <c r="N401" s="44"/>
      <c r="O401" s="44"/>
      <c r="P401" s="65"/>
    </row>
    <row r="402" spans="9:16" x14ac:dyDescent="0.3">
      <c r="I402" s="89"/>
      <c r="J402" s="15"/>
      <c r="K402" s="29"/>
      <c r="L402" s="89"/>
      <c r="M402" s="58"/>
      <c r="N402" s="44"/>
      <c r="O402" s="44"/>
      <c r="P402" s="65"/>
    </row>
    <row r="403" spans="9:16" x14ac:dyDescent="0.3">
      <c r="I403" s="89"/>
      <c r="J403" s="15"/>
      <c r="K403" s="29"/>
      <c r="L403" s="89"/>
      <c r="M403" s="58"/>
      <c r="N403" s="44"/>
      <c r="O403" s="44"/>
      <c r="P403" s="65"/>
    </row>
    <row r="404" spans="9:16" x14ac:dyDescent="0.3">
      <c r="I404" s="89"/>
      <c r="J404" s="15"/>
      <c r="K404" s="29"/>
      <c r="L404" s="89"/>
      <c r="M404" s="58"/>
      <c r="N404" s="44"/>
      <c r="O404" s="44"/>
      <c r="P404" s="44"/>
    </row>
    <row r="405" spans="9:16" x14ac:dyDescent="0.3">
      <c r="I405" s="89"/>
      <c r="J405" s="15"/>
      <c r="K405" s="29"/>
      <c r="L405" s="89"/>
      <c r="M405" s="58"/>
      <c r="N405" s="44"/>
      <c r="O405" s="44"/>
      <c r="P405" s="65"/>
    </row>
    <row r="406" spans="9:16" x14ac:dyDescent="0.3">
      <c r="I406" s="89"/>
      <c r="J406" s="15"/>
      <c r="K406" s="29"/>
      <c r="L406" s="89"/>
      <c r="M406" s="58"/>
      <c r="N406" s="44"/>
      <c r="O406" s="44"/>
      <c r="P406" s="65"/>
    </row>
    <row r="407" spans="9:16" x14ac:dyDescent="0.3">
      <c r="I407" s="89"/>
      <c r="J407" s="15"/>
      <c r="K407" s="29"/>
      <c r="L407" s="89"/>
      <c r="M407" s="58"/>
      <c r="N407" s="44"/>
      <c r="O407" s="44"/>
      <c r="P407" s="65"/>
    </row>
    <row r="408" spans="9:16" x14ac:dyDescent="0.3">
      <c r="I408" s="89"/>
      <c r="J408" s="15"/>
      <c r="K408" s="29"/>
      <c r="L408" s="89"/>
      <c r="M408" s="58"/>
      <c r="N408" s="44"/>
      <c r="O408" s="44"/>
      <c r="P408" s="65"/>
    </row>
    <row r="409" spans="9:16" x14ac:dyDescent="0.3">
      <c r="I409" s="89"/>
      <c r="J409" s="15"/>
      <c r="K409" s="29"/>
      <c r="L409" s="89"/>
      <c r="M409" s="58"/>
      <c r="N409" s="44"/>
      <c r="O409" s="44"/>
      <c r="P409" s="65"/>
    </row>
    <row r="410" spans="9:16" x14ac:dyDescent="0.3">
      <c r="I410" s="89"/>
      <c r="J410" s="15"/>
      <c r="K410" s="29"/>
      <c r="L410" s="89"/>
      <c r="M410" s="58"/>
      <c r="N410" s="44"/>
      <c r="O410" s="44"/>
      <c r="P410" s="65"/>
    </row>
    <row r="411" spans="9:16" x14ac:dyDescent="0.3">
      <c r="I411" s="89"/>
      <c r="J411" s="15"/>
      <c r="K411" s="29"/>
      <c r="L411" s="89"/>
      <c r="M411" s="58"/>
      <c r="N411" s="44"/>
      <c r="O411" s="44"/>
      <c r="P411" s="65"/>
    </row>
    <row r="412" spans="9:16" x14ac:dyDescent="0.3">
      <c r="I412" s="89"/>
      <c r="J412" s="15"/>
      <c r="K412" s="29"/>
      <c r="L412" s="89"/>
      <c r="M412" s="58"/>
      <c r="N412" s="44"/>
      <c r="O412" s="44"/>
      <c r="P412" s="65"/>
    </row>
    <row r="413" spans="9:16" x14ac:dyDescent="0.3">
      <c r="I413" s="89"/>
      <c r="J413" s="15"/>
      <c r="K413" s="29"/>
      <c r="L413" s="89"/>
      <c r="M413" s="58"/>
      <c r="N413" s="44"/>
      <c r="O413" s="44"/>
      <c r="P413" s="65"/>
    </row>
    <row r="414" spans="9:16" x14ac:dyDescent="0.3">
      <c r="I414" s="89"/>
      <c r="J414" s="15"/>
      <c r="K414" s="29"/>
      <c r="L414" s="89"/>
      <c r="M414" s="58"/>
      <c r="N414" s="44"/>
      <c r="O414" s="44"/>
      <c r="P414" s="65"/>
    </row>
    <row r="415" spans="9:16" x14ac:dyDescent="0.3">
      <c r="I415" s="89"/>
      <c r="J415" s="15"/>
      <c r="K415" s="29"/>
      <c r="L415" s="89"/>
      <c r="M415" s="58"/>
      <c r="N415" s="44"/>
      <c r="O415" s="44"/>
      <c r="P415" s="65"/>
    </row>
    <row r="416" spans="9:16" x14ac:dyDescent="0.3">
      <c r="I416" s="89"/>
      <c r="J416" s="15"/>
      <c r="K416" s="29"/>
      <c r="L416" s="89"/>
      <c r="M416" s="58"/>
      <c r="N416" s="44"/>
      <c r="O416" s="44"/>
      <c r="P416" s="65"/>
    </row>
    <row r="417" spans="9:16" x14ac:dyDescent="0.3">
      <c r="I417" s="89"/>
      <c r="J417" s="15"/>
      <c r="K417" s="29"/>
      <c r="L417" s="89"/>
      <c r="M417" s="58"/>
      <c r="N417" s="44"/>
      <c r="O417" s="44"/>
      <c r="P417" s="65"/>
    </row>
    <row r="418" spans="9:16" x14ac:dyDescent="0.3">
      <c r="I418" s="89"/>
      <c r="J418" s="15"/>
      <c r="K418" s="29"/>
      <c r="L418" s="89"/>
      <c r="M418" s="58"/>
      <c r="N418" s="44"/>
      <c r="O418" s="44"/>
      <c r="P418" s="65"/>
    </row>
    <row r="419" spans="9:16" x14ac:dyDescent="0.3">
      <c r="I419" s="89"/>
      <c r="J419" s="15"/>
      <c r="K419" s="29"/>
      <c r="L419" s="89"/>
      <c r="M419" s="58"/>
      <c r="N419" s="44"/>
      <c r="O419" s="44"/>
      <c r="P419" s="65"/>
    </row>
    <row r="420" spans="9:16" x14ac:dyDescent="0.3">
      <c r="I420" s="89"/>
      <c r="J420" s="15"/>
      <c r="K420" s="29"/>
      <c r="L420" s="89"/>
      <c r="M420" s="58"/>
      <c r="N420" s="44"/>
      <c r="O420" s="44"/>
      <c r="P420" s="65"/>
    </row>
    <row r="421" spans="9:16" x14ac:dyDescent="0.3">
      <c r="I421" s="89"/>
      <c r="J421" s="15"/>
      <c r="K421" s="29"/>
      <c r="L421" s="89"/>
      <c r="M421" s="58"/>
      <c r="N421" s="44"/>
      <c r="O421" s="44"/>
      <c r="P421" s="65"/>
    </row>
    <row r="422" spans="9:16" x14ac:dyDescent="0.3">
      <c r="I422" s="89"/>
      <c r="J422" s="15"/>
      <c r="K422" s="29"/>
      <c r="L422" s="89"/>
      <c r="M422" s="58"/>
      <c r="N422" s="44"/>
      <c r="O422" s="44"/>
      <c r="P422" s="65"/>
    </row>
    <row r="423" spans="9:16" x14ac:dyDescent="0.3">
      <c r="I423" s="89"/>
      <c r="J423" s="15"/>
      <c r="K423" s="29"/>
      <c r="L423" s="89"/>
      <c r="M423" s="58"/>
      <c r="N423" s="44"/>
      <c r="O423" s="44"/>
      <c r="P423" s="65"/>
    </row>
    <row r="424" spans="9:16" x14ac:dyDescent="0.3">
      <c r="I424" s="89"/>
      <c r="J424" s="15"/>
      <c r="K424" s="29"/>
      <c r="L424" s="89"/>
      <c r="M424" s="58"/>
      <c r="N424" s="44"/>
      <c r="O424" s="44"/>
      <c r="P424" s="65"/>
    </row>
    <row r="425" spans="9:16" x14ac:dyDescent="0.3">
      <c r="I425" s="89"/>
      <c r="J425" s="15"/>
      <c r="K425" s="29"/>
      <c r="L425" s="89"/>
      <c r="M425" s="58"/>
      <c r="N425" s="44"/>
      <c r="O425" s="44"/>
      <c r="P425" s="65"/>
    </row>
    <row r="426" spans="9:16" x14ac:dyDescent="0.3">
      <c r="I426" s="89"/>
      <c r="J426" s="15"/>
      <c r="K426" s="29"/>
      <c r="L426" s="89"/>
      <c r="M426" s="58"/>
      <c r="N426" s="44"/>
      <c r="O426" s="44"/>
      <c r="P426" s="65"/>
    </row>
    <row r="427" spans="9:16" x14ac:dyDescent="0.3">
      <c r="I427" s="89"/>
      <c r="J427" s="15"/>
      <c r="K427" s="29"/>
      <c r="L427" s="89"/>
      <c r="M427" s="58"/>
      <c r="N427" s="44"/>
      <c r="O427" s="44"/>
      <c r="P427" s="65"/>
    </row>
    <row r="428" spans="9:16" x14ac:dyDescent="0.3">
      <c r="I428" s="89"/>
      <c r="J428" s="15"/>
      <c r="K428" s="29"/>
      <c r="L428" s="89"/>
      <c r="M428" s="58"/>
      <c r="N428" s="44"/>
      <c r="O428" s="44"/>
      <c r="P428" s="65"/>
    </row>
    <row r="429" spans="9:16" x14ac:dyDescent="0.3">
      <c r="I429" s="89"/>
      <c r="J429" s="15"/>
      <c r="K429" s="29"/>
      <c r="L429" s="89"/>
      <c r="M429" s="58"/>
      <c r="N429" s="44"/>
      <c r="O429" s="44"/>
      <c r="P429" s="65"/>
    </row>
    <row r="430" spans="9:16" x14ac:dyDescent="0.3">
      <c r="I430" s="89"/>
      <c r="J430" s="15"/>
      <c r="K430" s="29"/>
      <c r="L430" s="89"/>
      <c r="M430" s="58"/>
      <c r="N430" s="44"/>
      <c r="O430" s="44"/>
      <c r="P430" s="65"/>
    </row>
    <row r="431" spans="9:16" x14ac:dyDescent="0.3">
      <c r="I431" s="89"/>
      <c r="J431" s="15"/>
      <c r="K431" s="29"/>
      <c r="L431" s="89"/>
      <c r="M431" s="58"/>
      <c r="N431" s="44"/>
      <c r="O431" s="44"/>
      <c r="P431" s="65"/>
    </row>
    <row r="432" spans="9:16" x14ac:dyDescent="0.3">
      <c r="I432" s="89"/>
      <c r="J432" s="15"/>
      <c r="K432" s="29"/>
      <c r="L432" s="89"/>
      <c r="M432" s="58"/>
      <c r="N432" s="44"/>
      <c r="O432" s="44"/>
      <c r="P432" s="65"/>
    </row>
    <row r="433" spans="9:16" x14ac:dyDescent="0.3">
      <c r="I433" s="89"/>
      <c r="J433" s="15"/>
      <c r="K433" s="29"/>
      <c r="L433" s="89"/>
      <c r="M433" s="58"/>
      <c r="N433" s="44"/>
      <c r="O433" s="44"/>
      <c r="P433" s="65"/>
    </row>
    <row r="434" spans="9:16" x14ac:dyDescent="0.3">
      <c r="I434" s="89"/>
      <c r="J434" s="15"/>
      <c r="K434" s="29"/>
      <c r="L434" s="89"/>
      <c r="M434" s="58"/>
      <c r="N434" s="44"/>
      <c r="O434" s="44"/>
      <c r="P434" s="65"/>
    </row>
    <row r="435" spans="9:16" x14ac:dyDescent="0.3">
      <c r="I435" s="89"/>
      <c r="J435" s="15"/>
      <c r="K435" s="29"/>
      <c r="L435" s="89"/>
      <c r="M435" s="58"/>
      <c r="N435" s="44"/>
      <c r="O435" s="44"/>
      <c r="P435" s="65"/>
    </row>
    <row r="436" spans="9:16" x14ac:dyDescent="0.3">
      <c r="I436" s="89"/>
      <c r="J436" s="15"/>
      <c r="K436" s="29"/>
      <c r="L436" s="89"/>
      <c r="M436" s="58"/>
      <c r="N436" s="44"/>
      <c r="O436" s="44"/>
      <c r="P436" s="65"/>
    </row>
    <row r="437" spans="9:16" x14ac:dyDescent="0.3">
      <c r="I437" s="89"/>
      <c r="J437" s="15"/>
      <c r="K437" s="29"/>
      <c r="L437" s="89"/>
      <c r="M437" s="58"/>
      <c r="N437" s="44"/>
      <c r="O437" s="44"/>
      <c r="P437" s="65"/>
    </row>
    <row r="438" spans="9:16" x14ac:dyDescent="0.3">
      <c r="I438" s="89"/>
      <c r="J438" s="15"/>
      <c r="K438" s="29"/>
      <c r="L438" s="89"/>
      <c r="M438" s="58"/>
      <c r="N438" s="44"/>
      <c r="O438" s="44"/>
      <c r="P438" s="65"/>
    </row>
    <row r="439" spans="9:16" x14ac:dyDescent="0.3">
      <c r="I439" s="89"/>
      <c r="J439" s="15"/>
      <c r="K439" s="29"/>
      <c r="L439" s="89"/>
      <c r="M439" s="58"/>
      <c r="N439" s="44"/>
      <c r="O439" s="44"/>
      <c r="P439" s="65"/>
    </row>
    <row r="440" spans="9:16" x14ac:dyDescent="0.3">
      <c r="I440" s="89"/>
      <c r="J440" s="15"/>
      <c r="K440" s="29"/>
      <c r="L440" s="89"/>
      <c r="M440" s="58"/>
      <c r="N440" s="44"/>
      <c r="O440" s="44"/>
      <c r="P440" s="65"/>
    </row>
    <row r="441" spans="9:16" x14ac:dyDescent="0.3">
      <c r="I441" s="89"/>
      <c r="J441" s="15"/>
      <c r="K441" s="29"/>
      <c r="L441" s="89"/>
      <c r="M441" s="58"/>
      <c r="N441" s="44"/>
      <c r="O441" s="44"/>
      <c r="P441" s="65"/>
    </row>
    <row r="442" spans="9:16" x14ac:dyDescent="0.3">
      <c r="I442" s="89"/>
      <c r="J442" s="15"/>
      <c r="K442" s="29"/>
      <c r="L442" s="89"/>
      <c r="M442" s="58"/>
      <c r="N442" s="44"/>
      <c r="O442" s="44"/>
      <c r="P442" s="65"/>
    </row>
    <row r="443" spans="9:16" x14ac:dyDescent="0.3">
      <c r="I443" s="89"/>
      <c r="J443" s="15"/>
      <c r="K443" s="29"/>
      <c r="L443" s="89"/>
      <c r="M443" s="58"/>
      <c r="N443" s="44"/>
      <c r="O443" s="44"/>
      <c r="P443" s="65"/>
    </row>
    <row r="444" spans="9:16" x14ac:dyDescent="0.3">
      <c r="I444" s="89"/>
      <c r="J444" s="15"/>
      <c r="K444" s="29"/>
      <c r="L444" s="89"/>
      <c r="M444" s="58"/>
      <c r="N444" s="44"/>
      <c r="O444" s="44"/>
      <c r="P444" s="65"/>
    </row>
    <row r="445" spans="9:16" x14ac:dyDescent="0.3">
      <c r="I445" s="89"/>
      <c r="J445" s="15"/>
      <c r="K445" s="29"/>
      <c r="L445" s="89"/>
      <c r="M445" s="58"/>
      <c r="N445" s="44"/>
      <c r="O445" s="44"/>
      <c r="P445" s="65"/>
    </row>
    <row r="446" spans="9:16" x14ac:dyDescent="0.3">
      <c r="I446" s="89"/>
      <c r="J446" s="15"/>
      <c r="K446" s="29"/>
      <c r="L446" s="89"/>
      <c r="M446" s="58"/>
      <c r="N446" s="44"/>
      <c r="O446" s="44"/>
      <c r="P446" s="65"/>
    </row>
    <row r="447" spans="9:16" x14ac:dyDescent="0.3">
      <c r="I447" s="89"/>
      <c r="J447" s="15"/>
      <c r="K447" s="29"/>
      <c r="L447" s="89"/>
      <c r="M447" s="58"/>
      <c r="N447" s="44"/>
      <c r="O447" s="44"/>
      <c r="P447" s="65"/>
    </row>
    <row r="448" spans="9:16" x14ac:dyDescent="0.3">
      <c r="I448" s="89"/>
      <c r="J448" s="15"/>
      <c r="K448" s="29"/>
      <c r="L448" s="89"/>
      <c r="M448" s="58"/>
      <c r="N448" s="44"/>
      <c r="O448" s="44"/>
      <c r="P448" s="65"/>
    </row>
    <row r="449" spans="9:16" x14ac:dyDescent="0.3">
      <c r="I449" s="89"/>
      <c r="J449" s="15"/>
      <c r="K449" s="29"/>
      <c r="L449" s="89"/>
      <c r="M449" s="58"/>
      <c r="N449" s="44"/>
      <c r="O449" s="44"/>
      <c r="P449" s="65"/>
    </row>
    <row r="450" spans="9:16" x14ac:dyDescent="0.3">
      <c r="I450" s="89"/>
      <c r="J450" s="15"/>
      <c r="K450" s="29"/>
      <c r="L450" s="89"/>
      <c r="M450" s="58"/>
      <c r="N450" s="44"/>
      <c r="O450" s="44"/>
      <c r="P450" s="65"/>
    </row>
    <row r="451" spans="9:16" x14ac:dyDescent="0.3">
      <c r="I451" s="89"/>
      <c r="J451" s="15"/>
      <c r="K451" s="29"/>
      <c r="L451" s="89"/>
      <c r="M451" s="58"/>
      <c r="N451" s="44"/>
      <c r="O451" s="44"/>
      <c r="P451" s="65"/>
    </row>
    <row r="452" spans="9:16" x14ac:dyDescent="0.3">
      <c r="I452" s="89"/>
      <c r="J452" s="15"/>
      <c r="K452" s="29"/>
      <c r="L452" s="89"/>
      <c r="M452" s="58"/>
      <c r="N452" s="44"/>
      <c r="O452" s="44"/>
      <c r="P452" s="65"/>
    </row>
    <row r="453" spans="9:16" x14ac:dyDescent="0.3">
      <c r="I453" s="89"/>
      <c r="J453" s="15"/>
      <c r="K453" s="29"/>
      <c r="L453" s="89"/>
      <c r="M453" s="58"/>
      <c r="N453" s="44"/>
      <c r="O453" s="44"/>
      <c r="P453" s="65"/>
    </row>
    <row r="454" spans="9:16" x14ac:dyDescent="0.3">
      <c r="I454" s="89"/>
      <c r="J454" s="15"/>
      <c r="K454" s="29"/>
      <c r="L454" s="89"/>
      <c r="M454" s="58"/>
      <c r="N454" s="44"/>
      <c r="O454" s="44"/>
      <c r="P454" s="65"/>
    </row>
    <row r="455" spans="9:16" x14ac:dyDescent="0.3">
      <c r="I455" s="89"/>
      <c r="J455" s="15"/>
      <c r="K455" s="29"/>
      <c r="L455" s="89"/>
      <c r="M455" s="58"/>
      <c r="N455" s="44"/>
      <c r="O455" s="44"/>
      <c r="P455" s="65"/>
    </row>
    <row r="456" spans="9:16" x14ac:dyDescent="0.3">
      <c r="I456" s="89"/>
      <c r="J456" s="15"/>
      <c r="K456" s="29"/>
      <c r="L456" s="89"/>
      <c r="M456" s="58"/>
      <c r="N456" s="44"/>
      <c r="O456" s="44"/>
      <c r="P456" s="65"/>
    </row>
    <row r="457" spans="9:16" x14ac:dyDescent="0.3">
      <c r="I457" s="89"/>
      <c r="J457" s="15"/>
      <c r="K457" s="29"/>
      <c r="L457" s="89"/>
      <c r="M457" s="58"/>
      <c r="N457" s="44"/>
      <c r="O457" s="44"/>
      <c r="P457" s="65"/>
    </row>
    <row r="458" spans="9:16" x14ac:dyDescent="0.3">
      <c r="I458" s="89"/>
      <c r="J458" s="15"/>
      <c r="K458" s="29"/>
      <c r="L458" s="89"/>
      <c r="M458" s="58"/>
      <c r="N458" s="44"/>
      <c r="O458" s="44"/>
      <c r="P458" s="65"/>
    </row>
    <row r="459" spans="9:16" x14ac:dyDescent="0.3">
      <c r="I459" s="89"/>
      <c r="J459" s="15"/>
      <c r="K459" s="29"/>
      <c r="L459" s="89"/>
      <c r="M459" s="58"/>
      <c r="N459" s="44"/>
      <c r="O459" s="44"/>
      <c r="P459" s="65"/>
    </row>
    <row r="460" spans="9:16" x14ac:dyDescent="0.3">
      <c r="I460" s="89"/>
      <c r="J460" s="15"/>
      <c r="K460" s="29"/>
      <c r="L460" s="89"/>
      <c r="M460" s="58"/>
      <c r="N460" s="44"/>
      <c r="O460" s="44"/>
      <c r="P460" s="65"/>
    </row>
    <row r="461" spans="9:16" x14ac:dyDescent="0.3">
      <c r="I461" s="89"/>
      <c r="J461" s="15"/>
      <c r="K461" s="29"/>
      <c r="L461" s="89"/>
      <c r="M461" s="58"/>
      <c r="N461" s="44"/>
      <c r="O461" s="44"/>
      <c r="P461" s="65"/>
    </row>
    <row r="462" spans="9:16" x14ac:dyDescent="0.3">
      <c r="I462" s="89"/>
      <c r="J462" s="15"/>
      <c r="K462" s="29"/>
      <c r="L462" s="89"/>
      <c r="M462" s="58"/>
      <c r="N462" s="44"/>
      <c r="O462" s="44"/>
      <c r="P462" s="65"/>
    </row>
    <row r="463" spans="9:16" x14ac:dyDescent="0.3">
      <c r="I463" s="89"/>
      <c r="J463" s="15"/>
      <c r="K463" s="29"/>
      <c r="L463" s="89"/>
      <c r="M463" s="58"/>
      <c r="N463" s="44"/>
      <c r="O463" s="44"/>
      <c r="P463" s="65"/>
    </row>
    <row r="464" spans="9:16" x14ac:dyDescent="0.3">
      <c r="I464" s="89"/>
      <c r="J464" s="15"/>
      <c r="K464" s="29"/>
      <c r="L464" s="89"/>
      <c r="M464" s="58"/>
      <c r="N464" s="44"/>
      <c r="O464" s="44"/>
      <c r="P464" s="65"/>
    </row>
    <row r="465" spans="9:16" x14ac:dyDescent="0.3">
      <c r="I465" s="89"/>
      <c r="J465" s="15"/>
      <c r="K465" s="29"/>
      <c r="L465" s="89"/>
      <c r="M465" s="58"/>
      <c r="N465" s="44"/>
      <c r="O465" s="44"/>
      <c r="P465" s="65"/>
    </row>
    <row r="466" spans="9:16" x14ac:dyDescent="0.3">
      <c r="I466" s="89"/>
      <c r="J466" s="15"/>
      <c r="K466" s="29"/>
      <c r="L466" s="89"/>
      <c r="M466" s="58"/>
      <c r="N466" s="44"/>
      <c r="O466" s="44"/>
      <c r="P466" s="65"/>
    </row>
    <row r="467" spans="9:16" x14ac:dyDescent="0.3">
      <c r="I467" s="89"/>
      <c r="J467" s="15"/>
      <c r="K467" s="29"/>
      <c r="L467" s="89"/>
      <c r="M467" s="58"/>
      <c r="N467" s="44"/>
      <c r="O467" s="44"/>
      <c r="P467" s="65"/>
    </row>
    <row r="468" spans="9:16" x14ac:dyDescent="0.3">
      <c r="I468" s="89"/>
      <c r="J468" s="15"/>
      <c r="K468" s="29"/>
      <c r="L468" s="89"/>
      <c r="M468" s="58"/>
      <c r="N468" s="44"/>
      <c r="O468" s="44"/>
      <c r="P468" s="65"/>
    </row>
    <row r="469" spans="9:16" x14ac:dyDescent="0.3">
      <c r="I469" s="89"/>
      <c r="J469" s="15"/>
      <c r="K469" s="29"/>
      <c r="L469" s="89"/>
      <c r="M469" s="58"/>
      <c r="N469" s="44"/>
      <c r="O469" s="44"/>
      <c r="P469" s="65"/>
    </row>
    <row r="470" spans="9:16" x14ac:dyDescent="0.3">
      <c r="I470" s="89"/>
      <c r="J470" s="15"/>
      <c r="K470" s="29"/>
      <c r="L470" s="89"/>
      <c r="M470" s="58"/>
      <c r="N470" s="44"/>
      <c r="O470" s="44"/>
      <c r="P470" s="65"/>
    </row>
    <row r="471" spans="9:16" x14ac:dyDescent="0.3">
      <c r="I471" s="89"/>
      <c r="J471" s="15"/>
      <c r="K471" s="29"/>
      <c r="L471" s="89"/>
      <c r="M471" s="58"/>
      <c r="N471" s="44"/>
      <c r="O471" s="44"/>
      <c r="P471" s="65"/>
    </row>
    <row r="472" spans="9:16" x14ac:dyDescent="0.3">
      <c r="I472" s="89"/>
      <c r="J472" s="15"/>
      <c r="K472" s="29"/>
      <c r="L472" s="89"/>
      <c r="M472" s="58"/>
      <c r="N472" s="44"/>
      <c r="O472" s="44"/>
      <c r="P472" s="65"/>
    </row>
    <row r="473" spans="9:16" x14ac:dyDescent="0.3">
      <c r="I473" s="89"/>
      <c r="J473" s="15"/>
      <c r="K473" s="29"/>
      <c r="L473" s="89"/>
      <c r="M473" s="58"/>
      <c r="N473" s="44"/>
      <c r="O473" s="44"/>
      <c r="P473" s="65"/>
    </row>
    <row r="474" spans="9:16" x14ac:dyDescent="0.3">
      <c r="I474" s="89"/>
      <c r="J474" s="15"/>
      <c r="K474" s="29"/>
      <c r="L474" s="89"/>
      <c r="M474" s="58"/>
      <c r="N474" s="44"/>
      <c r="O474" s="44"/>
      <c r="P474" s="65"/>
    </row>
    <row r="475" spans="9:16" x14ac:dyDescent="0.3">
      <c r="I475" s="89"/>
      <c r="J475" s="15"/>
      <c r="K475" s="29"/>
      <c r="L475" s="89"/>
      <c r="M475" s="58"/>
      <c r="N475" s="44"/>
      <c r="O475" s="44"/>
      <c r="P475" s="65"/>
    </row>
    <row r="476" spans="9:16" x14ac:dyDescent="0.3">
      <c r="I476" s="89"/>
      <c r="J476" s="15"/>
      <c r="K476" s="29"/>
      <c r="L476" s="89"/>
      <c r="M476" s="58"/>
      <c r="N476" s="44"/>
      <c r="O476" s="44"/>
      <c r="P476" s="65"/>
    </row>
    <row r="477" spans="9:16" x14ac:dyDescent="0.3">
      <c r="I477" s="89"/>
      <c r="J477" s="15"/>
      <c r="K477" s="29"/>
      <c r="L477" s="89"/>
      <c r="M477" s="58"/>
      <c r="N477" s="44"/>
      <c r="O477" s="44"/>
      <c r="P477" s="65"/>
    </row>
    <row r="478" spans="9:16" x14ac:dyDescent="0.3">
      <c r="I478" s="89"/>
      <c r="J478" s="15"/>
      <c r="K478" s="29"/>
      <c r="L478" s="89"/>
      <c r="M478" s="58"/>
      <c r="N478" s="44"/>
      <c r="O478" s="44"/>
      <c r="P478" s="65"/>
    </row>
    <row r="479" spans="9:16" x14ac:dyDescent="0.3">
      <c r="I479" s="89"/>
      <c r="J479" s="15"/>
      <c r="K479" s="29"/>
      <c r="L479" s="89"/>
      <c r="M479" s="58"/>
      <c r="N479" s="44"/>
      <c r="O479" s="44"/>
      <c r="P479" s="65"/>
    </row>
    <row r="480" spans="9:16" x14ac:dyDescent="0.3">
      <c r="I480" s="89"/>
      <c r="J480" s="15"/>
      <c r="K480" s="29"/>
      <c r="L480" s="89"/>
      <c r="M480" s="58"/>
      <c r="N480" s="44"/>
      <c r="O480" s="44"/>
      <c r="P480" s="65"/>
    </row>
    <row r="481" spans="9:16" x14ac:dyDescent="0.3">
      <c r="I481" s="89"/>
      <c r="J481" s="15"/>
      <c r="K481" s="29"/>
      <c r="L481" s="89"/>
      <c r="M481" s="58"/>
      <c r="N481" s="44"/>
      <c r="O481" s="44"/>
      <c r="P481" s="65"/>
    </row>
    <row r="482" spans="9:16" x14ac:dyDescent="0.3">
      <c r="I482" s="89"/>
      <c r="J482" s="15"/>
      <c r="K482" s="29"/>
      <c r="L482" s="89"/>
      <c r="M482" s="58"/>
      <c r="N482" s="44"/>
      <c r="O482" s="44"/>
      <c r="P482" s="65"/>
    </row>
    <row r="483" spans="9:16" x14ac:dyDescent="0.3">
      <c r="I483" s="89"/>
      <c r="J483" s="15"/>
      <c r="K483" s="29"/>
      <c r="L483" s="89"/>
      <c r="M483" s="58"/>
      <c r="N483" s="44"/>
      <c r="O483" s="44"/>
      <c r="P483" s="65"/>
    </row>
    <row r="484" spans="9:16" x14ac:dyDescent="0.3">
      <c r="I484" s="89"/>
      <c r="J484" s="15"/>
      <c r="K484" s="29"/>
      <c r="L484" s="89"/>
      <c r="M484" s="58"/>
      <c r="N484" s="44"/>
      <c r="O484" s="44"/>
      <c r="P484" s="65"/>
    </row>
    <row r="485" spans="9:16" x14ac:dyDescent="0.3">
      <c r="I485" s="89"/>
      <c r="J485" s="15"/>
      <c r="K485" s="29"/>
      <c r="L485" s="89"/>
      <c r="M485" s="58"/>
      <c r="N485" s="44"/>
      <c r="O485" s="44"/>
      <c r="P485" s="65"/>
    </row>
    <row r="486" spans="9:16" x14ac:dyDescent="0.3">
      <c r="I486" s="89"/>
      <c r="J486" s="15"/>
      <c r="K486" s="29"/>
      <c r="L486" s="89"/>
      <c r="M486" s="58"/>
      <c r="N486" s="44"/>
      <c r="O486" s="44"/>
      <c r="P486" s="65"/>
    </row>
    <row r="487" spans="9:16" x14ac:dyDescent="0.3">
      <c r="I487" s="89"/>
      <c r="J487" s="15"/>
      <c r="K487" s="29"/>
      <c r="L487" s="89"/>
      <c r="M487" s="58"/>
      <c r="N487" s="44"/>
      <c r="O487" s="44"/>
      <c r="P487" s="65"/>
    </row>
    <row r="488" spans="9:16" x14ac:dyDescent="0.3">
      <c r="I488" s="89"/>
      <c r="J488" s="15"/>
      <c r="K488" s="29"/>
      <c r="L488" s="89"/>
      <c r="M488" s="58"/>
      <c r="N488" s="44"/>
      <c r="O488" s="44"/>
      <c r="P488" s="65"/>
    </row>
    <row r="489" spans="9:16" x14ac:dyDescent="0.3">
      <c r="I489" s="89"/>
      <c r="J489" s="15"/>
      <c r="K489" s="29"/>
      <c r="L489" s="89"/>
      <c r="M489" s="58"/>
      <c r="N489" s="44"/>
      <c r="O489" s="44"/>
      <c r="P489" s="65"/>
    </row>
    <row r="490" spans="9:16" x14ac:dyDescent="0.3">
      <c r="I490" s="89"/>
      <c r="J490" s="15"/>
      <c r="K490" s="29"/>
      <c r="L490" s="89"/>
      <c r="M490" s="58"/>
      <c r="N490" s="44"/>
      <c r="O490" s="44"/>
      <c r="P490" s="65"/>
    </row>
    <row r="491" spans="9:16" x14ac:dyDescent="0.3">
      <c r="I491" s="89"/>
      <c r="J491" s="15"/>
      <c r="K491" s="29"/>
      <c r="L491" s="89"/>
      <c r="M491" s="58"/>
      <c r="N491" s="44"/>
      <c r="O491" s="44"/>
      <c r="P491" s="65"/>
    </row>
    <row r="492" spans="9:16" x14ac:dyDescent="0.3">
      <c r="I492" s="89"/>
      <c r="J492" s="15"/>
      <c r="K492" s="29"/>
      <c r="L492" s="89"/>
      <c r="M492" s="58"/>
      <c r="N492" s="44"/>
      <c r="O492" s="44"/>
      <c r="P492" s="65"/>
    </row>
    <row r="493" spans="9:16" x14ac:dyDescent="0.3">
      <c r="I493" s="89"/>
      <c r="J493" s="15"/>
      <c r="K493" s="29"/>
      <c r="L493" s="89"/>
      <c r="M493" s="58"/>
      <c r="N493" s="44"/>
      <c r="O493" s="44"/>
      <c r="P493" s="65"/>
    </row>
    <row r="494" spans="9:16" x14ac:dyDescent="0.3">
      <c r="I494" s="89"/>
      <c r="J494" s="15"/>
      <c r="K494" s="29"/>
      <c r="L494" s="89"/>
      <c r="M494" s="58"/>
      <c r="N494" s="44"/>
      <c r="O494" s="44"/>
      <c r="P494" s="65"/>
    </row>
    <row r="495" spans="9:16" x14ac:dyDescent="0.3">
      <c r="I495" s="89"/>
      <c r="J495" s="15"/>
      <c r="K495" s="29"/>
      <c r="L495" s="89"/>
      <c r="M495" s="58"/>
      <c r="N495" s="44"/>
      <c r="O495" s="44"/>
      <c r="P495" s="65"/>
    </row>
    <row r="496" spans="9:16" x14ac:dyDescent="0.3">
      <c r="I496" s="89"/>
      <c r="J496" s="15"/>
      <c r="K496" s="29"/>
      <c r="L496" s="89"/>
      <c r="M496" s="58"/>
      <c r="N496" s="44"/>
      <c r="O496" s="44"/>
      <c r="P496" s="65"/>
    </row>
    <row r="497" spans="9:16" x14ac:dyDescent="0.3">
      <c r="I497" s="89"/>
      <c r="J497" s="15"/>
      <c r="K497" s="29"/>
      <c r="L497" s="89"/>
      <c r="M497" s="58"/>
      <c r="N497" s="44"/>
      <c r="O497" s="44"/>
      <c r="P497" s="65"/>
    </row>
    <row r="498" spans="9:16" x14ac:dyDescent="0.3">
      <c r="I498" s="89"/>
      <c r="J498" s="15"/>
      <c r="K498" s="29"/>
      <c r="L498" s="89"/>
      <c r="M498" s="58"/>
      <c r="N498" s="44"/>
      <c r="O498" s="44"/>
      <c r="P498" s="65"/>
    </row>
    <row r="499" spans="9:16" x14ac:dyDescent="0.3">
      <c r="I499" s="89"/>
      <c r="J499" s="15"/>
      <c r="K499" s="29"/>
      <c r="L499" s="89"/>
      <c r="M499" s="58"/>
      <c r="N499" s="44"/>
      <c r="O499" s="44"/>
      <c r="P499" s="65"/>
    </row>
    <row r="500" spans="9:16" x14ac:dyDescent="0.3">
      <c r="I500" s="89"/>
      <c r="J500" s="15"/>
      <c r="K500" s="29"/>
      <c r="L500" s="89"/>
      <c r="M500" s="58"/>
      <c r="N500" s="44"/>
      <c r="O500" s="44"/>
      <c r="P500" s="65"/>
    </row>
    <row r="501" spans="9:16" x14ac:dyDescent="0.3">
      <c r="I501" s="89"/>
      <c r="J501" s="15"/>
      <c r="K501" s="29"/>
      <c r="L501" s="89"/>
      <c r="M501" s="58"/>
      <c r="N501" s="44"/>
      <c r="O501" s="44"/>
      <c r="P501" s="65"/>
    </row>
    <row r="502" spans="9:16" x14ac:dyDescent="0.3">
      <c r="I502" s="89"/>
      <c r="J502" s="15"/>
      <c r="K502" s="29"/>
      <c r="L502" s="89"/>
      <c r="M502" s="58"/>
      <c r="N502" s="44"/>
      <c r="O502" s="44"/>
      <c r="P502" s="65"/>
    </row>
    <row r="503" spans="9:16" x14ac:dyDescent="0.3">
      <c r="I503" s="89"/>
      <c r="J503" s="15"/>
      <c r="K503" s="29"/>
      <c r="L503" s="89"/>
      <c r="M503" s="58"/>
      <c r="N503" s="44"/>
      <c r="O503" s="44"/>
      <c r="P503" s="65"/>
    </row>
    <row r="504" spans="9:16" x14ac:dyDescent="0.3">
      <c r="I504" s="89"/>
      <c r="J504" s="15"/>
      <c r="K504" s="29"/>
      <c r="L504" s="89"/>
      <c r="M504" s="58"/>
      <c r="N504" s="44"/>
      <c r="O504" s="44"/>
      <c r="P504" s="65"/>
    </row>
    <row r="505" spans="9:16" x14ac:dyDescent="0.3">
      <c r="I505" s="89"/>
      <c r="J505" s="15"/>
      <c r="K505" s="29"/>
      <c r="L505" s="89"/>
      <c r="M505" s="58"/>
      <c r="N505" s="44"/>
      <c r="O505" s="44"/>
      <c r="P505" s="65"/>
    </row>
    <row r="506" spans="9:16" x14ac:dyDescent="0.3">
      <c r="I506" s="89"/>
      <c r="J506" s="15"/>
      <c r="K506" s="29"/>
      <c r="L506" s="89"/>
      <c r="M506" s="58"/>
      <c r="N506" s="44"/>
      <c r="O506" s="44"/>
      <c r="P506" s="65"/>
    </row>
    <row r="507" spans="9:16" x14ac:dyDescent="0.3">
      <c r="I507" s="89"/>
      <c r="J507" s="15"/>
      <c r="K507" s="29"/>
      <c r="L507" s="89"/>
      <c r="M507" s="58"/>
      <c r="N507" s="44"/>
      <c r="O507" s="44"/>
      <c r="P507" s="65"/>
    </row>
    <row r="508" spans="9:16" x14ac:dyDescent="0.3">
      <c r="I508" s="89"/>
      <c r="J508" s="15"/>
      <c r="K508" s="29"/>
      <c r="L508" s="89"/>
      <c r="M508" s="58"/>
      <c r="N508" s="44"/>
      <c r="O508" s="44"/>
      <c r="P508" s="65"/>
    </row>
    <row r="509" spans="9:16" x14ac:dyDescent="0.3">
      <c r="I509" s="89"/>
      <c r="J509" s="15"/>
      <c r="K509" s="29"/>
      <c r="L509" s="89"/>
      <c r="M509" s="58"/>
      <c r="N509" s="44"/>
      <c r="O509" s="44"/>
      <c r="P509" s="44"/>
    </row>
    <row r="510" spans="9:16" x14ac:dyDescent="0.3">
      <c r="I510" s="89"/>
      <c r="J510" s="15"/>
      <c r="K510" s="29"/>
      <c r="L510" s="89"/>
      <c r="M510" s="58"/>
      <c r="N510" s="44"/>
      <c r="O510" s="44"/>
      <c r="P510" s="65"/>
    </row>
    <row r="511" spans="9:16" x14ac:dyDescent="0.3">
      <c r="I511" s="89"/>
      <c r="J511" s="15"/>
      <c r="K511" s="29"/>
      <c r="L511" s="89"/>
      <c r="M511" s="58"/>
      <c r="N511" s="44"/>
      <c r="O511" s="44"/>
      <c r="P511" s="65"/>
    </row>
    <row r="512" spans="9:16" x14ac:dyDescent="0.3">
      <c r="I512" s="89"/>
      <c r="J512" s="15"/>
      <c r="K512" s="29"/>
      <c r="L512" s="89"/>
      <c r="M512" s="58"/>
      <c r="N512" s="44"/>
      <c r="O512" s="44"/>
      <c r="P512" s="65"/>
    </row>
    <row r="513" spans="9:16" x14ac:dyDescent="0.3">
      <c r="I513" s="89"/>
      <c r="J513" s="15"/>
      <c r="K513" s="29"/>
      <c r="L513" s="89"/>
      <c r="M513" s="58"/>
      <c r="N513" s="44"/>
      <c r="O513" s="44"/>
      <c r="P513" s="65"/>
    </row>
    <row r="514" spans="9:16" x14ac:dyDescent="0.3">
      <c r="I514" s="89"/>
      <c r="J514" s="15"/>
      <c r="K514" s="29"/>
      <c r="L514" s="89"/>
      <c r="M514" s="58"/>
      <c r="N514" s="44"/>
      <c r="O514" s="44"/>
      <c r="P514" s="65"/>
    </row>
    <row r="515" spans="9:16" x14ac:dyDescent="0.3">
      <c r="I515" s="89"/>
      <c r="J515" s="15"/>
      <c r="K515" s="29"/>
      <c r="L515" s="89"/>
      <c r="M515" s="58"/>
      <c r="N515" s="44"/>
      <c r="O515" s="44"/>
      <c r="P515" s="65"/>
    </row>
    <row r="516" spans="9:16" x14ac:dyDescent="0.3">
      <c r="I516" s="89"/>
      <c r="J516" s="15"/>
      <c r="K516" s="29"/>
      <c r="L516" s="89"/>
      <c r="M516" s="58"/>
      <c r="N516" s="44"/>
      <c r="O516" s="44"/>
      <c r="P516" s="65"/>
    </row>
    <row r="517" spans="9:16" x14ac:dyDescent="0.3">
      <c r="I517" s="89"/>
      <c r="J517" s="15"/>
      <c r="K517" s="29"/>
      <c r="L517" s="89"/>
      <c r="M517" s="58"/>
      <c r="N517" s="44"/>
      <c r="O517" s="44"/>
      <c r="P517" s="65"/>
    </row>
    <row r="518" spans="9:16" x14ac:dyDescent="0.3">
      <c r="I518" s="89"/>
      <c r="J518" s="15"/>
      <c r="K518" s="29"/>
      <c r="L518" s="89"/>
      <c r="M518" s="58"/>
      <c r="N518" s="44"/>
      <c r="O518" s="44"/>
      <c r="P518" s="65"/>
    </row>
    <row r="519" spans="9:16" x14ac:dyDescent="0.3">
      <c r="I519" s="89"/>
      <c r="J519" s="15"/>
      <c r="K519" s="29"/>
      <c r="L519" s="89"/>
      <c r="M519" s="58"/>
      <c r="N519" s="44"/>
      <c r="O519" s="44"/>
      <c r="P519" s="65"/>
    </row>
    <row r="520" spans="9:16" x14ac:dyDescent="0.3">
      <c r="I520" s="89"/>
      <c r="J520" s="15"/>
      <c r="K520" s="29"/>
      <c r="L520" s="89"/>
      <c r="M520" s="58"/>
      <c r="N520" s="44"/>
      <c r="O520" s="44"/>
      <c r="P520" s="65"/>
    </row>
    <row r="521" spans="9:16" x14ac:dyDescent="0.3">
      <c r="I521" s="89"/>
      <c r="J521" s="15"/>
      <c r="K521" s="29"/>
      <c r="L521" s="89"/>
      <c r="M521" s="58"/>
      <c r="N521" s="44"/>
      <c r="O521" s="44"/>
      <c r="P521" s="65"/>
    </row>
    <row r="522" spans="9:16" x14ac:dyDescent="0.3">
      <c r="I522" s="89"/>
      <c r="J522" s="15"/>
      <c r="K522" s="29"/>
      <c r="L522" s="89"/>
      <c r="M522" s="58"/>
      <c r="N522" s="44"/>
      <c r="O522" s="44"/>
      <c r="P522" s="65"/>
    </row>
    <row r="523" spans="9:16" x14ac:dyDescent="0.3">
      <c r="I523" s="89"/>
      <c r="J523" s="15"/>
      <c r="K523" s="29"/>
      <c r="L523" s="89"/>
      <c r="M523" s="58"/>
      <c r="N523" s="44"/>
      <c r="O523" s="44"/>
      <c r="P523" s="65"/>
    </row>
    <row r="524" spans="9:16" x14ac:dyDescent="0.3">
      <c r="I524" s="89"/>
      <c r="J524" s="15"/>
      <c r="K524" s="29"/>
      <c r="L524" s="89"/>
      <c r="M524" s="58"/>
      <c r="N524" s="44"/>
      <c r="O524" s="44"/>
      <c r="P524" s="65"/>
    </row>
    <row r="525" spans="9:16" x14ac:dyDescent="0.3">
      <c r="I525" s="89"/>
      <c r="J525" s="15"/>
      <c r="K525" s="29"/>
      <c r="L525" s="89"/>
      <c r="M525" s="58"/>
      <c r="N525" s="44"/>
      <c r="O525" s="44"/>
      <c r="P525" s="65"/>
    </row>
    <row r="526" spans="9:16" x14ac:dyDescent="0.3">
      <c r="I526" s="89"/>
      <c r="J526" s="15"/>
      <c r="K526" s="29"/>
      <c r="L526" s="89"/>
      <c r="M526" s="58"/>
      <c r="N526" s="44"/>
      <c r="O526" s="44"/>
      <c r="P526" s="65"/>
    </row>
    <row r="527" spans="9:16" x14ac:dyDescent="0.3">
      <c r="I527" s="89"/>
      <c r="J527" s="15"/>
      <c r="K527" s="29"/>
      <c r="L527" s="89"/>
      <c r="M527" s="58"/>
      <c r="N527" s="44"/>
      <c r="O527" s="44"/>
      <c r="P527" s="65"/>
    </row>
    <row r="528" spans="9:16" x14ac:dyDescent="0.3">
      <c r="I528" s="89"/>
      <c r="J528" s="15"/>
      <c r="K528" s="29"/>
      <c r="L528" s="89"/>
      <c r="M528" s="58"/>
      <c r="N528" s="44"/>
      <c r="O528" s="44"/>
      <c r="P528" s="65"/>
    </row>
    <row r="529" spans="9:16" x14ac:dyDescent="0.3">
      <c r="I529" s="89"/>
      <c r="J529" s="15"/>
      <c r="K529" s="29"/>
      <c r="L529" s="89"/>
      <c r="M529" s="58"/>
      <c r="N529" s="44"/>
      <c r="O529" s="44"/>
      <c r="P529" s="65"/>
    </row>
    <row r="530" spans="9:16" x14ac:dyDescent="0.3">
      <c r="I530" s="89"/>
      <c r="J530" s="15"/>
      <c r="K530" s="29"/>
      <c r="L530" s="89"/>
      <c r="M530" s="58"/>
      <c r="N530" s="44"/>
      <c r="O530" s="44"/>
      <c r="P530" s="65"/>
    </row>
    <row r="531" spans="9:16" x14ac:dyDescent="0.3">
      <c r="I531" s="89"/>
      <c r="J531" s="15"/>
      <c r="K531" s="29"/>
      <c r="L531" s="89"/>
      <c r="M531" s="58"/>
      <c r="N531" s="44"/>
      <c r="O531" s="44"/>
      <c r="P531" s="65"/>
    </row>
    <row r="532" spans="9:16" x14ac:dyDescent="0.3">
      <c r="I532" s="89"/>
      <c r="J532" s="15"/>
      <c r="K532" s="29"/>
      <c r="L532" s="89"/>
      <c r="M532" s="58"/>
      <c r="N532" s="44"/>
      <c r="O532" s="44"/>
      <c r="P532" s="65"/>
    </row>
    <row r="533" spans="9:16" x14ac:dyDescent="0.3">
      <c r="I533" s="89"/>
      <c r="J533" s="15"/>
      <c r="K533" s="29"/>
      <c r="L533" s="89"/>
      <c r="M533" s="58"/>
      <c r="N533" s="44"/>
      <c r="O533" s="44"/>
      <c r="P533" s="65"/>
    </row>
    <row r="534" spans="9:16" x14ac:dyDescent="0.3">
      <c r="I534" s="89"/>
      <c r="J534" s="15"/>
      <c r="K534" s="29"/>
      <c r="L534" s="89"/>
      <c r="M534" s="58"/>
      <c r="N534" s="44"/>
      <c r="O534" s="44"/>
      <c r="P534" s="65"/>
    </row>
    <row r="535" spans="9:16" x14ac:dyDescent="0.3">
      <c r="I535" s="89"/>
      <c r="J535" s="15"/>
      <c r="K535" s="29"/>
      <c r="L535" s="89"/>
      <c r="M535" s="58"/>
      <c r="N535" s="44"/>
      <c r="O535" s="44"/>
      <c r="P535" s="65"/>
    </row>
    <row r="536" spans="9:16" x14ac:dyDescent="0.3">
      <c r="I536" s="89"/>
      <c r="J536" s="15"/>
      <c r="K536" s="29"/>
      <c r="L536" s="89"/>
      <c r="M536" s="58"/>
      <c r="N536" s="44"/>
      <c r="O536" s="44"/>
      <c r="P536" s="65"/>
    </row>
    <row r="537" spans="9:16" x14ac:dyDescent="0.3">
      <c r="I537" s="89"/>
      <c r="J537" s="15"/>
      <c r="K537" s="29"/>
      <c r="L537" s="89"/>
      <c r="M537" s="58"/>
      <c r="N537" s="44"/>
      <c r="O537" s="44"/>
      <c r="P537" s="65"/>
    </row>
    <row r="538" spans="9:16" x14ac:dyDescent="0.3">
      <c r="I538" s="89"/>
      <c r="J538" s="15"/>
      <c r="K538" s="29"/>
      <c r="L538" s="89"/>
      <c r="M538" s="58"/>
      <c r="N538" s="44"/>
      <c r="O538" s="44"/>
      <c r="P538" s="65"/>
    </row>
    <row r="539" spans="9:16" x14ac:dyDescent="0.3">
      <c r="I539" s="89"/>
      <c r="J539" s="15"/>
      <c r="K539" s="29"/>
      <c r="L539" s="89"/>
      <c r="M539" s="58"/>
      <c r="N539" s="44"/>
      <c r="O539" s="44"/>
      <c r="P539" s="65"/>
    </row>
    <row r="540" spans="9:16" x14ac:dyDescent="0.3">
      <c r="I540" s="89"/>
      <c r="J540" s="15"/>
      <c r="K540" s="29"/>
      <c r="L540" s="89"/>
      <c r="M540" s="58"/>
      <c r="N540" s="44"/>
      <c r="O540" s="44"/>
      <c r="P540" s="65"/>
    </row>
    <row r="541" spans="9:16" x14ac:dyDescent="0.3">
      <c r="I541" s="89"/>
      <c r="J541" s="15"/>
      <c r="K541" s="29"/>
      <c r="L541" s="89"/>
      <c r="M541" s="58"/>
      <c r="N541" s="44"/>
      <c r="O541" s="44"/>
      <c r="P541" s="65"/>
    </row>
    <row r="542" spans="9:16" x14ac:dyDescent="0.3">
      <c r="I542" s="89"/>
      <c r="J542" s="15"/>
      <c r="K542" s="29"/>
      <c r="L542" s="89"/>
      <c r="M542" s="58"/>
      <c r="N542" s="44"/>
      <c r="O542" s="44"/>
      <c r="P542" s="65"/>
    </row>
    <row r="543" spans="9:16" x14ac:dyDescent="0.3">
      <c r="I543" s="89"/>
      <c r="J543" s="15"/>
      <c r="K543" s="29"/>
      <c r="L543" s="89"/>
      <c r="M543" s="58"/>
      <c r="N543" s="44"/>
      <c r="O543" s="44"/>
      <c r="P543" s="65"/>
    </row>
    <row r="544" spans="9:16" x14ac:dyDescent="0.3">
      <c r="I544" s="89"/>
      <c r="J544" s="15"/>
      <c r="K544" s="29"/>
      <c r="L544" s="89"/>
      <c r="M544" s="58"/>
      <c r="N544" s="44"/>
      <c r="O544" s="44"/>
      <c r="P544" s="65"/>
    </row>
    <row r="545" spans="9:16" x14ac:dyDescent="0.3">
      <c r="I545" s="89"/>
      <c r="J545" s="15"/>
      <c r="K545" s="29"/>
      <c r="L545" s="89"/>
      <c r="M545" s="58"/>
      <c r="N545" s="44"/>
      <c r="O545" s="44"/>
      <c r="P545" s="65"/>
    </row>
    <row r="546" spans="9:16" x14ac:dyDescent="0.3">
      <c r="I546" s="89"/>
      <c r="J546" s="15"/>
      <c r="K546" s="29"/>
      <c r="L546" s="89"/>
      <c r="M546" s="58"/>
      <c r="N546" s="44"/>
      <c r="O546" s="44"/>
      <c r="P546" s="65"/>
    </row>
    <row r="547" spans="9:16" x14ac:dyDescent="0.3">
      <c r="I547" s="89"/>
      <c r="J547" s="15"/>
      <c r="K547" s="29"/>
      <c r="L547" s="89"/>
      <c r="M547" s="58"/>
      <c r="N547" s="44"/>
      <c r="O547" s="44"/>
      <c r="P547" s="65"/>
    </row>
    <row r="548" spans="9:16" x14ac:dyDescent="0.3">
      <c r="I548" s="89"/>
      <c r="J548" s="15"/>
      <c r="K548" s="29"/>
      <c r="L548" s="89"/>
      <c r="M548" s="58"/>
      <c r="N548" s="44"/>
      <c r="O548" s="44"/>
      <c r="P548" s="65"/>
    </row>
    <row r="549" spans="9:16" x14ac:dyDescent="0.3">
      <c r="I549" s="89"/>
      <c r="J549" s="15"/>
      <c r="K549" s="29"/>
      <c r="L549" s="89"/>
      <c r="M549" s="58"/>
      <c r="N549" s="44"/>
      <c r="O549" s="44"/>
      <c r="P549" s="65"/>
    </row>
    <row r="550" spans="9:16" x14ac:dyDescent="0.3">
      <c r="I550" s="89"/>
      <c r="J550" s="15"/>
      <c r="K550" s="29"/>
      <c r="L550" s="89"/>
      <c r="M550" s="58"/>
      <c r="N550" s="44"/>
      <c r="O550" s="44"/>
      <c r="P550" s="65"/>
    </row>
    <row r="551" spans="9:16" x14ac:dyDescent="0.3">
      <c r="I551" s="89"/>
      <c r="J551" s="15"/>
      <c r="K551" s="29"/>
      <c r="L551" s="89"/>
      <c r="M551" s="58"/>
      <c r="N551" s="44"/>
      <c r="O551" s="44"/>
      <c r="P551" s="65"/>
    </row>
    <row r="552" spans="9:16" x14ac:dyDescent="0.3">
      <c r="I552" s="89"/>
      <c r="J552" s="15"/>
      <c r="K552" s="29"/>
      <c r="L552" s="89"/>
      <c r="M552" s="58"/>
      <c r="N552" s="44"/>
      <c r="O552" s="44"/>
      <c r="P552" s="65"/>
    </row>
    <row r="553" spans="9:16" x14ac:dyDescent="0.3">
      <c r="I553" s="89"/>
      <c r="J553" s="15"/>
      <c r="K553" s="29"/>
      <c r="L553" s="89"/>
      <c r="M553" s="58"/>
      <c r="N553" s="44"/>
      <c r="O553" s="44"/>
      <c r="P553" s="65"/>
    </row>
    <row r="554" spans="9:16" x14ac:dyDescent="0.3">
      <c r="I554" s="89"/>
      <c r="J554" s="15"/>
      <c r="K554" s="29"/>
      <c r="L554" s="89"/>
      <c r="M554" s="58"/>
      <c r="N554" s="44"/>
      <c r="O554" s="44"/>
      <c r="P554" s="65"/>
    </row>
    <row r="555" spans="9:16" x14ac:dyDescent="0.3">
      <c r="I555" s="89"/>
      <c r="J555" s="15"/>
      <c r="K555" s="29"/>
      <c r="L555" s="89"/>
      <c r="M555" s="58"/>
      <c r="N555" s="44"/>
      <c r="O555" s="44"/>
      <c r="P555" s="65"/>
    </row>
    <row r="556" spans="9:16" x14ac:dyDescent="0.3">
      <c r="I556" s="89"/>
      <c r="J556" s="15"/>
      <c r="K556" s="29"/>
      <c r="L556" s="89"/>
      <c r="M556" s="58"/>
      <c r="N556" s="44"/>
      <c r="O556" s="44"/>
      <c r="P556" s="65"/>
    </row>
    <row r="557" spans="9:16" x14ac:dyDescent="0.3">
      <c r="I557" s="89"/>
      <c r="J557" s="15"/>
      <c r="K557" s="29"/>
      <c r="L557" s="89"/>
      <c r="M557" s="58"/>
      <c r="N557" s="44"/>
      <c r="O557" s="44"/>
      <c r="P557" s="65"/>
    </row>
    <row r="558" spans="9:16" x14ac:dyDescent="0.3">
      <c r="I558" s="89"/>
      <c r="J558" s="15"/>
      <c r="K558" s="29"/>
      <c r="L558" s="89"/>
      <c r="M558" s="58"/>
      <c r="N558" s="44"/>
      <c r="O558" s="44"/>
      <c r="P558" s="65"/>
    </row>
    <row r="559" spans="9:16" x14ac:dyDescent="0.3">
      <c r="I559" s="89"/>
      <c r="J559" s="15"/>
      <c r="K559" s="29"/>
      <c r="L559" s="89"/>
      <c r="M559" s="58"/>
      <c r="N559" s="44"/>
      <c r="O559" s="44"/>
      <c r="P559" s="65"/>
    </row>
    <row r="560" spans="9:16" x14ac:dyDescent="0.3">
      <c r="I560" s="89"/>
      <c r="J560" s="15"/>
      <c r="K560" s="29"/>
      <c r="L560" s="89"/>
      <c r="M560" s="58"/>
      <c r="N560" s="44"/>
      <c r="O560" s="44"/>
      <c r="P560" s="65"/>
    </row>
    <row r="561" spans="9:16" x14ac:dyDescent="0.3">
      <c r="I561" s="89"/>
      <c r="J561" s="15"/>
      <c r="K561" s="29"/>
      <c r="L561" s="89"/>
      <c r="M561" s="58"/>
      <c r="N561" s="44"/>
      <c r="O561" s="44"/>
      <c r="P561" s="65"/>
    </row>
    <row r="562" spans="9:16" x14ac:dyDescent="0.3">
      <c r="I562" s="89"/>
      <c r="J562" s="15"/>
      <c r="K562" s="29"/>
      <c r="L562" s="89"/>
      <c r="M562" s="58"/>
      <c r="N562" s="44"/>
      <c r="O562" s="44"/>
      <c r="P562" s="65"/>
    </row>
    <row r="563" spans="9:16" x14ac:dyDescent="0.3">
      <c r="I563" s="89"/>
      <c r="J563" s="15"/>
      <c r="K563" s="29"/>
      <c r="L563" s="89"/>
      <c r="M563" s="58"/>
      <c r="N563" s="44"/>
      <c r="O563" s="44"/>
      <c r="P563" s="65"/>
    </row>
    <row r="564" spans="9:16" x14ac:dyDescent="0.3">
      <c r="I564" s="89"/>
      <c r="J564" s="15"/>
      <c r="K564" s="29"/>
      <c r="L564" s="89"/>
      <c r="M564" s="58"/>
      <c r="N564" s="44"/>
      <c r="O564" s="44"/>
      <c r="P564" s="65"/>
    </row>
    <row r="565" spans="9:16" x14ac:dyDescent="0.3">
      <c r="I565" s="89"/>
      <c r="J565" s="15"/>
      <c r="K565" s="29"/>
      <c r="L565" s="89"/>
      <c r="M565" s="58"/>
      <c r="N565" s="44"/>
      <c r="O565" s="44"/>
      <c r="P565" s="65"/>
    </row>
    <row r="566" spans="9:16" x14ac:dyDescent="0.3">
      <c r="I566" s="89"/>
      <c r="J566" s="15"/>
      <c r="K566" s="29"/>
      <c r="L566" s="89"/>
      <c r="M566" s="58"/>
      <c r="N566" s="44"/>
      <c r="O566" s="44"/>
      <c r="P566" s="65"/>
    </row>
    <row r="567" spans="9:16" x14ac:dyDescent="0.3">
      <c r="I567" s="89"/>
      <c r="J567" s="15"/>
      <c r="K567" s="29"/>
      <c r="L567" s="89"/>
      <c r="M567" s="58"/>
      <c r="N567" s="44"/>
      <c r="O567" s="44"/>
      <c r="P567" s="65"/>
    </row>
    <row r="568" spans="9:16" x14ac:dyDescent="0.3">
      <c r="I568" s="89"/>
      <c r="J568" s="15"/>
      <c r="K568" s="29"/>
      <c r="L568" s="89"/>
      <c r="M568" s="58"/>
      <c r="N568" s="44"/>
      <c r="O568" s="44"/>
      <c r="P568" s="65"/>
    </row>
    <row r="569" spans="9:16" x14ac:dyDescent="0.3">
      <c r="I569" s="89"/>
      <c r="J569" s="15"/>
      <c r="K569" s="29"/>
      <c r="L569" s="89"/>
      <c r="M569" s="58"/>
      <c r="N569" s="44"/>
      <c r="O569" s="44"/>
      <c r="P569" s="65"/>
    </row>
    <row r="570" spans="9:16" x14ac:dyDescent="0.3">
      <c r="I570" s="89"/>
      <c r="J570" s="15"/>
      <c r="K570" s="29"/>
      <c r="L570" s="89"/>
      <c r="M570" s="58"/>
      <c r="N570" s="44"/>
      <c r="O570" s="44"/>
      <c r="P570" s="65"/>
    </row>
    <row r="571" spans="9:16" x14ac:dyDescent="0.3">
      <c r="I571" s="89"/>
      <c r="J571" s="15"/>
      <c r="K571" s="29"/>
      <c r="L571" s="89"/>
      <c r="M571" s="58"/>
      <c r="N571" s="44"/>
      <c r="O571" s="44"/>
      <c r="P571" s="65"/>
    </row>
    <row r="572" spans="9:16" x14ac:dyDescent="0.3">
      <c r="I572" s="89"/>
      <c r="J572" s="15"/>
      <c r="K572" s="29"/>
      <c r="L572" s="89"/>
      <c r="M572" s="58"/>
      <c r="N572" s="44"/>
      <c r="O572" s="44"/>
      <c r="P572" s="65"/>
    </row>
    <row r="573" spans="9:16" x14ac:dyDescent="0.3">
      <c r="I573" s="89"/>
      <c r="J573" s="15"/>
      <c r="K573" s="29"/>
      <c r="L573" s="89"/>
      <c r="M573" s="58"/>
      <c r="N573" s="44"/>
      <c r="O573" s="44"/>
      <c r="P573" s="65"/>
    </row>
    <row r="574" spans="9:16" x14ac:dyDescent="0.3">
      <c r="I574" s="89"/>
      <c r="J574" s="15"/>
      <c r="K574" s="29"/>
      <c r="L574" s="89"/>
      <c r="M574" s="58"/>
      <c r="N574" s="44"/>
      <c r="O574" s="44"/>
      <c r="P574" s="65"/>
    </row>
    <row r="575" spans="9:16" x14ac:dyDescent="0.3">
      <c r="I575" s="89"/>
      <c r="J575" s="15"/>
      <c r="K575" s="29"/>
      <c r="L575" s="89"/>
      <c r="M575" s="58"/>
      <c r="N575" s="44"/>
      <c r="O575" s="44"/>
      <c r="P575" s="65"/>
    </row>
    <row r="576" spans="9:16" x14ac:dyDescent="0.3">
      <c r="I576" s="89"/>
      <c r="J576" s="15"/>
      <c r="K576" s="29"/>
      <c r="L576" s="89"/>
      <c r="M576" s="58"/>
      <c r="N576" s="44"/>
      <c r="O576" s="44"/>
      <c r="P576" s="65"/>
    </row>
    <row r="577" spans="9:39" x14ac:dyDescent="0.3">
      <c r="I577" s="89"/>
      <c r="J577" s="15"/>
      <c r="K577" s="29"/>
      <c r="L577" s="89"/>
      <c r="M577" s="58"/>
      <c r="N577" s="44"/>
      <c r="O577" s="44"/>
      <c r="P577" s="65"/>
    </row>
    <row r="578" spans="9:39" x14ac:dyDescent="0.3">
      <c r="I578" s="89"/>
      <c r="J578" s="15"/>
      <c r="K578" s="29"/>
      <c r="L578" s="89"/>
      <c r="M578" s="58"/>
      <c r="N578" s="44"/>
      <c r="O578" s="44"/>
      <c r="P578" s="65"/>
    </row>
    <row r="579" spans="9:39" x14ac:dyDescent="0.3">
      <c r="I579" s="89"/>
      <c r="J579" s="15"/>
      <c r="K579" s="29"/>
      <c r="L579" s="89"/>
      <c r="M579" s="58"/>
      <c r="N579" s="44"/>
      <c r="O579" s="44"/>
      <c r="P579" s="65"/>
    </row>
    <row r="580" spans="9:39" x14ac:dyDescent="0.3">
      <c r="I580" s="89"/>
      <c r="J580" s="15"/>
      <c r="K580" s="29"/>
      <c r="L580" s="89"/>
      <c r="M580" s="58"/>
      <c r="N580" s="44"/>
      <c r="O580" s="44"/>
      <c r="P580" s="65"/>
    </row>
    <row r="581" spans="9:39" x14ac:dyDescent="0.3">
      <c r="I581" s="89"/>
      <c r="J581" s="15"/>
      <c r="K581" s="29"/>
      <c r="L581" s="89"/>
      <c r="M581" s="58"/>
      <c r="N581" s="44"/>
      <c r="O581" s="44"/>
      <c r="P581" s="65"/>
    </row>
    <row r="582" spans="9:39" x14ac:dyDescent="0.3">
      <c r="I582" s="89"/>
      <c r="J582" s="15"/>
      <c r="K582" s="29"/>
      <c r="L582" s="89"/>
      <c r="M582" s="58"/>
      <c r="N582" s="44"/>
      <c r="O582" s="44"/>
      <c r="P582" s="65"/>
    </row>
    <row r="583" spans="9:39" x14ac:dyDescent="0.3">
      <c r="AL583" s="93"/>
      <c r="AM583" s="93"/>
    </row>
    <row r="584" spans="9:39" x14ac:dyDescent="0.3">
      <c r="AL584" s="96"/>
    </row>
  </sheetData>
  <mergeCells count="1">
    <mergeCell ref="I14:I16"/>
  </mergeCells>
  <pageMargins left="0.7" right="0.7" top="0.75" bottom="0.75" header="0.3" footer="0.3"/>
  <pageSetup paperSize="9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FF8CC8-BDF0-403E-A500-40B8EB4E8D1C}">
  <dimension ref="B1:AN584"/>
  <sheetViews>
    <sheetView topLeftCell="F83" zoomScale="85" zoomScaleNormal="85" workbookViewId="0">
      <selection activeCell="P88" sqref="P88"/>
    </sheetView>
  </sheetViews>
  <sheetFormatPr baseColWidth="10" defaultColWidth="11.5546875" defaultRowHeight="14.4" x14ac:dyDescent="0.3"/>
  <cols>
    <col min="1" max="1" width="11.5546875" style="87"/>
    <col min="2" max="2" width="17.109375" style="86" bestFit="1" customWidth="1"/>
    <col min="3" max="3" width="22.6640625" style="86" customWidth="1"/>
    <col min="4" max="4" width="15.109375" style="86" bestFit="1" customWidth="1"/>
    <col min="5" max="5" width="19.88671875" style="87" bestFit="1" customWidth="1"/>
    <col min="6" max="6" width="11.5546875" style="86"/>
    <col min="7" max="8" width="11.5546875" style="87"/>
    <col min="9" max="9" width="16.88671875" style="87" bestFit="1" customWidth="1"/>
    <col min="10" max="10" width="12.6640625" style="87" bestFit="1" customWidth="1"/>
    <col min="11" max="11" width="25.5546875" style="87" customWidth="1"/>
    <col min="12" max="12" width="17.5546875" style="87" customWidth="1"/>
    <col min="13" max="13" width="12.5546875" style="87" bestFit="1" customWidth="1"/>
    <col min="14" max="14" width="11.5546875" style="86"/>
    <col min="15" max="16" width="17" style="86" customWidth="1"/>
    <col min="17" max="20" width="0" style="87" hidden="1" customWidth="1"/>
    <col min="21" max="21" width="17" style="86" hidden="1" customWidth="1"/>
    <col min="22" max="26" width="0" style="87" hidden="1" customWidth="1"/>
    <col min="27" max="28" width="0" style="86" hidden="1" customWidth="1"/>
    <col min="29" max="29" width="0" style="87" hidden="1" customWidth="1"/>
    <col min="30" max="30" width="17" style="86" hidden="1" customWidth="1"/>
    <col min="31" max="33" width="0" style="87" hidden="1" customWidth="1"/>
    <col min="34" max="34" width="17" style="86" hidden="1" customWidth="1"/>
    <col min="35" max="36" width="0" style="87" hidden="1" customWidth="1"/>
    <col min="37" max="37" width="0" style="88" hidden="1" customWidth="1"/>
    <col min="38" max="16384" width="11.5546875" style="87"/>
  </cols>
  <sheetData>
    <row r="1" spans="2:37" s="3" customFormat="1" x14ac:dyDescent="0.3">
      <c r="B1" s="1"/>
      <c r="C1" s="1"/>
      <c r="D1" s="1"/>
      <c r="F1" s="1"/>
      <c r="N1" s="1"/>
      <c r="O1" s="1"/>
      <c r="P1" s="1"/>
      <c r="U1" s="1"/>
      <c r="AA1" s="1"/>
      <c r="AB1" s="1"/>
      <c r="AD1" s="1"/>
      <c r="AH1" s="1"/>
      <c r="AK1" s="21"/>
    </row>
    <row r="2" spans="2:37" s="3" customFormat="1" x14ac:dyDescent="0.3">
      <c r="B2" s="1"/>
      <c r="C2" s="1"/>
      <c r="D2" s="1"/>
      <c r="F2" s="1"/>
      <c r="N2" s="1"/>
      <c r="O2" s="1"/>
      <c r="P2" s="1"/>
      <c r="U2" s="1"/>
      <c r="AA2" s="1"/>
      <c r="AB2" s="1"/>
      <c r="AD2" s="1"/>
      <c r="AH2" s="1"/>
      <c r="AK2" s="21"/>
    </row>
    <row r="3" spans="2:37" s="3" customFormat="1" ht="15" thickBot="1" x14ac:dyDescent="0.35">
      <c r="B3" s="1" t="s">
        <v>0</v>
      </c>
      <c r="C3" s="1" t="s">
        <v>1</v>
      </c>
      <c r="D3" s="2">
        <f>+K4</f>
        <v>0.1404</v>
      </c>
      <c r="E3" s="3" t="s">
        <v>2</v>
      </c>
      <c r="F3" s="1"/>
      <c r="H3" s="1">
        <v>1</v>
      </c>
      <c r="I3" s="3" t="s">
        <v>3</v>
      </c>
      <c r="J3" s="4" t="s">
        <v>4</v>
      </c>
      <c r="K3" s="5">
        <v>2.5999999999999999E-3</v>
      </c>
      <c r="L3" s="3" t="s">
        <v>5</v>
      </c>
      <c r="N3" s="1"/>
      <c r="O3" s="1"/>
      <c r="P3" s="1"/>
      <c r="U3" s="1"/>
      <c r="AA3" s="1"/>
      <c r="AB3" s="1"/>
      <c r="AD3" s="1"/>
      <c r="AH3" s="1"/>
      <c r="AK3" s="21"/>
    </row>
    <row r="4" spans="2:37" s="3" customFormat="1" ht="15" thickBot="1" x14ac:dyDescent="0.35">
      <c r="B4" s="1" t="s">
        <v>6</v>
      </c>
      <c r="C4" s="1" t="s">
        <v>7</v>
      </c>
      <c r="D4" s="6">
        <f>L118-L24</f>
        <v>41</v>
      </c>
      <c r="E4" s="3" t="s">
        <v>8</v>
      </c>
      <c r="F4" s="1"/>
      <c r="H4" s="75">
        <v>54</v>
      </c>
      <c r="I4" s="3" t="s">
        <v>9</v>
      </c>
      <c r="K4" s="1">
        <f>+H4*K3</f>
        <v>0.1404</v>
      </c>
      <c r="L4" s="3" t="s">
        <v>10</v>
      </c>
      <c r="N4" s="1"/>
      <c r="O4" s="1"/>
      <c r="P4" s="1"/>
      <c r="U4" s="1"/>
      <c r="AA4" s="1"/>
      <c r="AB4" s="1"/>
      <c r="AD4" s="1"/>
      <c r="AH4" s="1"/>
      <c r="AK4" s="21"/>
    </row>
    <row r="5" spans="2:37" s="3" customFormat="1" x14ac:dyDescent="0.3">
      <c r="B5" s="1" t="s">
        <v>11</v>
      </c>
      <c r="C5" s="1" t="s">
        <v>12</v>
      </c>
      <c r="D5" s="6">
        <f>+F17*10</f>
        <v>434.8010381291104</v>
      </c>
      <c r="E5" s="3" t="s">
        <v>8</v>
      </c>
      <c r="F5" s="1"/>
      <c r="K5" s="1">
        <f>+K4*60*60*24</f>
        <v>12130.559999999998</v>
      </c>
      <c r="L5" s="3" t="s">
        <v>13</v>
      </c>
      <c r="M5" s="7">
        <f>+K5/24</f>
        <v>505.43999999999988</v>
      </c>
      <c r="N5" s="1" t="s">
        <v>14</v>
      </c>
      <c r="O5" s="1"/>
      <c r="P5" s="1"/>
      <c r="U5" s="1"/>
      <c r="AA5" s="1"/>
      <c r="AB5" s="1"/>
      <c r="AD5" s="1"/>
      <c r="AH5" s="1"/>
      <c r="AK5" s="21"/>
    </row>
    <row r="6" spans="2:37" s="3" customFormat="1" x14ac:dyDescent="0.3">
      <c r="B6" s="1" t="s">
        <v>15</v>
      </c>
      <c r="C6" s="1" t="s">
        <v>16</v>
      </c>
      <c r="D6" s="8">
        <v>9.81</v>
      </c>
      <c r="E6" s="3" t="s">
        <v>17</v>
      </c>
      <c r="F6" s="1"/>
      <c r="K6" s="1">
        <f>+K5/0.156</f>
        <v>77759.999999999985</v>
      </c>
      <c r="L6" s="1" t="s">
        <v>18</v>
      </c>
      <c r="M6" s="1">
        <f>+K6/24</f>
        <v>3239.9999999999995</v>
      </c>
      <c r="N6" s="1" t="s">
        <v>19</v>
      </c>
      <c r="O6" s="1">
        <f>+M6/60</f>
        <v>53.999999999999993</v>
      </c>
      <c r="P6" s="1"/>
      <c r="Q6" s="1" t="s">
        <v>20</v>
      </c>
      <c r="R6" s="1"/>
      <c r="S6" s="1"/>
      <c r="U6" s="1"/>
      <c r="V6" s="1"/>
      <c r="W6" s="1"/>
      <c r="X6" s="1"/>
      <c r="Y6" s="1"/>
      <c r="Z6" s="1"/>
      <c r="AA6" s="1"/>
      <c r="AB6" s="1"/>
      <c r="AD6" s="1"/>
      <c r="AH6" s="1"/>
      <c r="AK6" s="21"/>
    </row>
    <row r="7" spans="2:37" s="3" customFormat="1" ht="15" thickBot="1" x14ac:dyDescent="0.35">
      <c r="B7" s="1" t="s">
        <v>21</v>
      </c>
      <c r="C7" s="1" t="s">
        <v>22</v>
      </c>
      <c r="D7" s="9">
        <v>1000</v>
      </c>
      <c r="E7" s="3" t="s">
        <v>23</v>
      </c>
      <c r="F7" s="1"/>
      <c r="G7" s="10">
        <v>0.746</v>
      </c>
      <c r="K7" s="1">
        <f>+K5/24</f>
        <v>505.43999999999988</v>
      </c>
      <c r="L7" s="3" t="s">
        <v>14</v>
      </c>
      <c r="N7" s="1"/>
      <c r="O7" s="1"/>
      <c r="P7" s="1"/>
      <c r="U7" s="1"/>
      <c r="AA7" s="1"/>
      <c r="AB7" s="1"/>
      <c r="AD7" s="1"/>
      <c r="AH7" s="1"/>
      <c r="AK7" s="21"/>
    </row>
    <row r="8" spans="2:37" s="3" customFormat="1" ht="16.2" thickBot="1" x14ac:dyDescent="0.35">
      <c r="B8" s="1" t="s">
        <v>24</v>
      </c>
      <c r="C8" s="1" t="s">
        <v>25</v>
      </c>
      <c r="D8" s="11">
        <f>+(D3*(D4+D5)*D6*D7)/745.7</f>
        <v>878.8147901839061</v>
      </c>
      <c r="E8" s="12" t="s">
        <v>26</v>
      </c>
      <c r="F8" s="13">
        <f>+D8*0.746</f>
        <v>655.59583347719399</v>
      </c>
      <c r="G8" s="14" t="s">
        <v>27</v>
      </c>
      <c r="H8" s="3">
        <v>0.83199999999999996</v>
      </c>
      <c r="N8" s="1"/>
      <c r="O8" s="1"/>
      <c r="P8" s="1"/>
      <c r="U8" s="1"/>
      <c r="AA8" s="1"/>
      <c r="AB8" s="1"/>
      <c r="AD8" s="1"/>
      <c r="AH8" s="1"/>
      <c r="AK8" s="21"/>
    </row>
    <row r="9" spans="2:37" s="3" customFormat="1" x14ac:dyDescent="0.3">
      <c r="B9" s="1"/>
      <c r="C9" s="1"/>
      <c r="D9" s="1"/>
      <c r="F9" s="1"/>
      <c r="N9" s="1"/>
      <c r="O9" s="1"/>
      <c r="P9" s="1"/>
      <c r="U9" s="1"/>
      <c r="AA9" s="1"/>
      <c r="AB9" s="1"/>
      <c r="AD9" s="1"/>
      <c r="AH9" s="1"/>
      <c r="AK9" s="21"/>
    </row>
    <row r="10" spans="2:37" s="3" customFormat="1" x14ac:dyDescent="0.3">
      <c r="B10" s="1" t="s">
        <v>28</v>
      </c>
      <c r="C10" s="1" t="s">
        <v>29</v>
      </c>
      <c r="D10" s="1">
        <v>191</v>
      </c>
      <c r="E10" s="3" t="s">
        <v>30</v>
      </c>
      <c r="F10" s="1">
        <f>+(D10*D8)/1000</f>
        <v>167.85362492512607</v>
      </c>
      <c r="G10" s="3" t="s">
        <v>31</v>
      </c>
      <c r="N10" s="1"/>
      <c r="O10" s="1"/>
      <c r="P10" s="1"/>
      <c r="U10" s="1"/>
      <c r="AA10" s="1"/>
      <c r="AB10" s="1"/>
      <c r="AD10" s="1"/>
      <c r="AH10" s="1"/>
      <c r="AK10" s="21"/>
    </row>
    <row r="11" spans="2:37" s="3" customFormat="1" x14ac:dyDescent="0.3">
      <c r="B11" s="1"/>
      <c r="C11" s="1"/>
      <c r="D11" s="1"/>
      <c r="F11" s="9">
        <f>+F10/0.832</f>
        <v>201.74714534269961</v>
      </c>
      <c r="G11" s="3" t="s">
        <v>32</v>
      </c>
      <c r="J11" s="1"/>
      <c r="N11" s="1"/>
      <c r="O11" s="1"/>
      <c r="P11" s="1"/>
      <c r="U11" s="1"/>
      <c r="AA11" s="1"/>
      <c r="AB11" s="1"/>
      <c r="AD11" s="1"/>
      <c r="AH11" s="1"/>
      <c r="AK11" s="21"/>
    </row>
    <row r="12" spans="2:37" s="3" customFormat="1" ht="15" thickBot="1" x14ac:dyDescent="0.35">
      <c r="B12" s="1" t="s">
        <v>33</v>
      </c>
      <c r="C12" s="1"/>
      <c r="D12" s="1"/>
      <c r="F12" s="1"/>
      <c r="J12" s="15" t="s">
        <v>34</v>
      </c>
      <c r="K12" s="16"/>
      <c r="L12" s="16" t="s">
        <v>35</v>
      </c>
      <c r="M12" s="16" t="s">
        <v>36</v>
      </c>
      <c r="N12" s="15"/>
      <c r="O12" s="66"/>
      <c r="P12" s="66"/>
      <c r="U12" s="66"/>
      <c r="AA12" s="1"/>
      <c r="AB12" s="1"/>
      <c r="AD12" s="66"/>
      <c r="AH12" s="66"/>
      <c r="AK12" s="21"/>
    </row>
    <row r="13" spans="2:37" s="3" customFormat="1" ht="15" thickBot="1" x14ac:dyDescent="0.35">
      <c r="B13" s="1" t="s">
        <v>37</v>
      </c>
      <c r="C13" s="1"/>
      <c r="D13" s="41">
        <v>46.7</v>
      </c>
      <c r="E13" s="3" t="s">
        <v>38</v>
      </c>
      <c r="F13" s="1"/>
      <c r="J13" s="15" t="s">
        <v>20</v>
      </c>
      <c r="K13" s="16" t="s">
        <v>39</v>
      </c>
      <c r="L13" s="16" t="s">
        <v>40</v>
      </c>
      <c r="M13" s="16" t="s">
        <v>41</v>
      </c>
      <c r="N13" s="15" t="s">
        <v>42</v>
      </c>
      <c r="O13" s="66"/>
      <c r="P13" s="66"/>
      <c r="Q13" s="17"/>
      <c r="U13" s="66"/>
      <c r="AA13" s="1"/>
      <c r="AB13" s="1"/>
      <c r="AD13" s="66"/>
      <c r="AH13" s="66"/>
      <c r="AK13" s="21"/>
    </row>
    <row r="14" spans="2:37" s="3" customFormat="1" x14ac:dyDescent="0.3">
      <c r="B14" s="1" t="s">
        <v>43</v>
      </c>
      <c r="C14" s="1"/>
      <c r="D14" s="1">
        <f>+D13/1.60934</f>
        <v>29.018106801545976</v>
      </c>
      <c r="F14" s="1"/>
      <c r="I14" s="114" t="s">
        <v>44</v>
      </c>
      <c r="J14" s="58">
        <f>+H4</f>
        <v>54</v>
      </c>
      <c r="K14" s="15">
        <f>+J14*0.156*60*24</f>
        <v>12130.559999999998</v>
      </c>
      <c r="L14" s="15">
        <f>+D8</f>
        <v>878.8147901839061</v>
      </c>
      <c r="M14" s="45">
        <f>+F11</f>
        <v>201.74714534269961</v>
      </c>
      <c r="N14" s="45"/>
      <c r="O14" s="67"/>
      <c r="P14" s="67"/>
      <c r="U14" s="67"/>
      <c r="AA14" s="1"/>
      <c r="AB14" s="1"/>
      <c r="AD14" s="67"/>
      <c r="AH14" s="67"/>
      <c r="AK14" s="21"/>
    </row>
    <row r="15" spans="2:37" s="3" customFormat="1" x14ac:dyDescent="0.3">
      <c r="B15" s="1"/>
      <c r="C15" s="1"/>
      <c r="D15" s="1">
        <f>+D14*5280</f>
        <v>153215.60391216274</v>
      </c>
      <c r="F15" s="1"/>
      <c r="I15" s="114"/>
      <c r="J15" s="44"/>
      <c r="K15" s="91"/>
      <c r="L15" s="91"/>
      <c r="M15" s="92"/>
      <c r="N15" s="92"/>
      <c r="O15" s="67"/>
      <c r="P15" s="67"/>
      <c r="Q15" s="74"/>
      <c r="U15" s="67"/>
      <c r="AA15" s="1"/>
      <c r="AB15" s="1"/>
      <c r="AD15" s="67"/>
      <c r="AH15" s="67"/>
      <c r="AK15" s="21"/>
    </row>
    <row r="16" spans="2:37" s="3" customFormat="1" ht="15" thickBot="1" x14ac:dyDescent="0.35">
      <c r="B16" s="1"/>
      <c r="C16" s="1"/>
      <c r="D16" s="1">
        <f>+D15/100</f>
        <v>1532.1560391216274</v>
      </c>
      <c r="E16" s="3" t="s">
        <v>45</v>
      </c>
      <c r="F16" s="1"/>
      <c r="I16" s="114"/>
      <c r="J16" s="44"/>
      <c r="K16" s="91"/>
      <c r="L16" s="91"/>
      <c r="M16" s="92"/>
      <c r="N16" s="92"/>
      <c r="O16" s="67"/>
      <c r="P16" s="67"/>
      <c r="Q16" s="74"/>
      <c r="U16" s="67"/>
      <c r="AA16" s="1"/>
      <c r="AB16" s="1"/>
      <c r="AD16" s="67"/>
      <c r="AH16" s="67"/>
      <c r="AK16" s="21"/>
    </row>
    <row r="17" spans="2:40" s="3" customFormat="1" ht="15" thickBot="1" x14ac:dyDescent="0.35">
      <c r="B17" s="1"/>
      <c r="C17" s="1"/>
      <c r="D17" s="75">
        <f>+D16*D43</f>
        <v>643.50553643108344</v>
      </c>
      <c r="E17" s="3" t="s">
        <v>45</v>
      </c>
      <c r="F17" s="1">
        <f>+D17/14.8</f>
        <v>43.48010381291104</v>
      </c>
      <c r="G17" s="3" t="s">
        <v>46</v>
      </c>
      <c r="I17" s="22"/>
      <c r="J17" s="44"/>
      <c r="K17" s="91"/>
      <c r="L17" s="91"/>
      <c r="M17" s="91"/>
      <c r="N17" s="91"/>
      <c r="O17" s="67"/>
      <c r="P17" s="67"/>
      <c r="Q17" s="74"/>
      <c r="U17" s="67"/>
      <c r="AA17" s="1"/>
      <c r="AB17" s="1"/>
      <c r="AD17" s="67"/>
      <c r="AH17" s="67"/>
      <c r="AK17" s="21"/>
    </row>
    <row r="18" spans="2:40" s="3" customFormat="1" x14ac:dyDescent="0.3">
      <c r="B18" s="1"/>
      <c r="C18" s="1"/>
      <c r="D18" s="1"/>
      <c r="F18" s="1"/>
      <c r="I18" s="22"/>
      <c r="J18" s="44"/>
      <c r="K18" s="91"/>
      <c r="L18" s="91"/>
      <c r="M18" s="92"/>
      <c r="N18" s="91"/>
      <c r="O18" s="67"/>
      <c r="P18" s="67"/>
      <c r="Q18" s="74"/>
      <c r="U18" s="67"/>
      <c r="AA18" s="1"/>
      <c r="AB18" s="1"/>
      <c r="AD18" s="67"/>
      <c r="AH18" s="67"/>
      <c r="AK18" s="21"/>
    </row>
    <row r="19" spans="2:40" s="3" customFormat="1" x14ac:dyDescent="0.3">
      <c r="B19" s="1"/>
      <c r="C19" s="1"/>
      <c r="D19" s="1"/>
      <c r="F19" s="1"/>
      <c r="I19" s="1"/>
      <c r="J19" s="1"/>
      <c r="K19" s="1"/>
      <c r="L19" s="1"/>
      <c r="N19" s="1"/>
      <c r="O19" s="1"/>
      <c r="P19" s="1"/>
      <c r="U19" s="1"/>
      <c r="AA19" s="1"/>
      <c r="AB19" s="1"/>
      <c r="AD19" s="1"/>
      <c r="AH19" s="1"/>
      <c r="AK19" s="21"/>
    </row>
    <row r="20" spans="2:40" s="3" customFormat="1" x14ac:dyDescent="0.3">
      <c r="B20" s="1" t="s">
        <v>47</v>
      </c>
      <c r="C20" s="1" t="s">
        <v>47</v>
      </c>
      <c r="D20" s="48" t="s">
        <v>42</v>
      </c>
      <c r="E20" s="48" t="s">
        <v>42</v>
      </c>
      <c r="F20" s="1"/>
      <c r="I20" s="1"/>
      <c r="J20" s="1"/>
      <c r="K20" s="1"/>
      <c r="L20" s="1"/>
      <c r="N20" s="1"/>
      <c r="O20" s="1"/>
      <c r="P20" s="1"/>
      <c r="U20" s="1"/>
      <c r="AA20" s="1"/>
      <c r="AB20" s="1"/>
      <c r="AD20" s="1"/>
      <c r="AH20" s="1"/>
      <c r="AK20" s="21"/>
    </row>
    <row r="21" spans="2:40" s="3" customFormat="1" ht="15" thickBot="1" x14ac:dyDescent="0.35">
      <c r="B21" s="1" t="s">
        <v>48</v>
      </c>
      <c r="C21" s="1" t="s">
        <v>39</v>
      </c>
      <c r="D21" s="49" t="s">
        <v>49</v>
      </c>
      <c r="E21" s="50" t="s">
        <v>50</v>
      </c>
      <c r="F21" s="1"/>
      <c r="I21" s="1"/>
      <c r="J21" s="1"/>
      <c r="M21" s="1"/>
      <c r="N21" s="1"/>
      <c r="O21" s="1"/>
      <c r="P21" s="1"/>
      <c r="T21" s="1">
        <f>+Q22*0.156*60</f>
        <v>748.80000000000007</v>
      </c>
      <c r="U21" s="1"/>
      <c r="AA21" s="17" t="s">
        <v>14</v>
      </c>
      <c r="AB21" s="1"/>
      <c r="AC21" s="1">
        <f>+AA22*0.156*60</f>
        <v>655.20000000000005</v>
      </c>
      <c r="AD21" s="1"/>
      <c r="AG21" s="1">
        <f>+AE22*0.156*60</f>
        <v>561.59999999999991</v>
      </c>
      <c r="AH21" s="1"/>
      <c r="AI21" s="1"/>
      <c r="AK21" s="21"/>
    </row>
    <row r="22" spans="2:40" s="3" customFormat="1" ht="15" thickBot="1" x14ac:dyDescent="0.35">
      <c r="B22" s="1">
        <v>12</v>
      </c>
      <c r="C22" s="1">
        <f t="shared" ref="C22:C45" si="0">+B22*0.156*60*24</f>
        <v>2695.68</v>
      </c>
      <c r="D22" s="5">
        <v>2.5999999999999999E-2</v>
      </c>
      <c r="E22" s="10">
        <v>6.9000000000000006E-2</v>
      </c>
      <c r="F22" s="1"/>
      <c r="I22" s="35" t="s">
        <v>49</v>
      </c>
      <c r="J22" s="34"/>
      <c r="K22" s="77">
        <f>+H4</f>
        <v>54</v>
      </c>
      <c r="L22" s="32" t="s">
        <v>48</v>
      </c>
      <c r="M22" s="32">
        <f>+K7</f>
        <v>505.43999999999988</v>
      </c>
      <c r="N22" s="32" t="s">
        <v>51</v>
      </c>
      <c r="O22" s="76">
        <f>+D43</f>
        <v>0.42</v>
      </c>
      <c r="P22" s="33"/>
      <c r="Q22" s="78">
        <v>80</v>
      </c>
      <c r="R22" s="32" t="s">
        <v>48</v>
      </c>
      <c r="S22" s="84"/>
      <c r="T22" s="80">
        <f>+D47</f>
        <v>1.11425</v>
      </c>
      <c r="U22" s="33"/>
      <c r="V22" s="84"/>
      <c r="W22" s="84">
        <v>40</v>
      </c>
      <c r="X22" s="84"/>
      <c r="Y22" s="84" t="s">
        <v>48</v>
      </c>
      <c r="Z22" s="84"/>
      <c r="AA22" s="31">
        <v>70</v>
      </c>
      <c r="AB22" s="32" t="s">
        <v>48</v>
      </c>
      <c r="AC22" s="33">
        <f>+D45</f>
        <v>0.88700000000000001</v>
      </c>
      <c r="AD22" s="33"/>
      <c r="AE22" s="31">
        <v>60</v>
      </c>
      <c r="AF22" s="32" t="s">
        <v>48</v>
      </c>
      <c r="AG22" s="33">
        <f>+D44</f>
        <v>0.628</v>
      </c>
      <c r="AH22" s="33"/>
      <c r="AI22" s="70"/>
      <c r="AK22" s="21"/>
    </row>
    <row r="23" spans="2:40" s="26" customFormat="1" ht="59.25" customHeight="1" thickBot="1" x14ac:dyDescent="0.35">
      <c r="B23" s="23">
        <v>13</v>
      </c>
      <c r="C23" s="23">
        <f t="shared" si="0"/>
        <v>2920.32</v>
      </c>
      <c r="D23" s="24">
        <v>0.03</v>
      </c>
      <c r="E23" s="25">
        <v>8.2000000000000003E-2</v>
      </c>
      <c r="F23" s="23">
        <v>48</v>
      </c>
      <c r="G23" s="23">
        <v>6.29</v>
      </c>
      <c r="H23" s="23"/>
      <c r="I23" s="38" t="s">
        <v>53</v>
      </c>
      <c r="J23" s="39" t="s">
        <v>43</v>
      </c>
      <c r="K23" s="55" t="s">
        <v>54</v>
      </c>
      <c r="L23" s="57" t="s">
        <v>52</v>
      </c>
      <c r="M23" s="56" t="s">
        <v>55</v>
      </c>
      <c r="N23" s="39" t="s">
        <v>56</v>
      </c>
      <c r="O23" s="39" t="s">
        <v>57</v>
      </c>
      <c r="P23" s="40" t="s">
        <v>58</v>
      </c>
      <c r="Q23" s="79" t="s">
        <v>59</v>
      </c>
      <c r="R23" s="39" t="s">
        <v>60</v>
      </c>
      <c r="S23" s="55"/>
      <c r="T23" s="40" t="s">
        <v>57</v>
      </c>
      <c r="U23" s="40" t="s">
        <v>58</v>
      </c>
      <c r="V23" s="55"/>
      <c r="W23" s="79" t="s">
        <v>59</v>
      </c>
      <c r="X23" s="39" t="s">
        <v>56</v>
      </c>
      <c r="Y23" s="55"/>
      <c r="Z23" s="55"/>
      <c r="AA23" s="47" t="s">
        <v>59</v>
      </c>
      <c r="AB23" s="39" t="s">
        <v>60</v>
      </c>
      <c r="AC23" s="40" t="s">
        <v>57</v>
      </c>
      <c r="AD23" s="40" t="s">
        <v>58</v>
      </c>
      <c r="AE23" s="47" t="s">
        <v>59</v>
      </c>
      <c r="AF23" s="39" t="s">
        <v>60</v>
      </c>
      <c r="AG23" s="40" t="s">
        <v>57</v>
      </c>
      <c r="AH23" s="40" t="s">
        <v>58</v>
      </c>
      <c r="AI23" s="71"/>
      <c r="AK23" s="43"/>
      <c r="AL23" s="4"/>
    </row>
    <row r="24" spans="2:40" s="3" customFormat="1" x14ac:dyDescent="0.3">
      <c r="B24" s="1">
        <v>14</v>
      </c>
      <c r="C24" s="1">
        <f t="shared" si="0"/>
        <v>3144.9600000000005</v>
      </c>
      <c r="D24" s="5">
        <v>3.9E-2</v>
      </c>
      <c r="E24" s="10">
        <v>0.09</v>
      </c>
      <c r="F24" s="1">
        <v>60</v>
      </c>
      <c r="G24" s="1">
        <v>8</v>
      </c>
      <c r="H24" s="1"/>
      <c r="I24" s="90" t="e">
        <f>+#REF!*1000</f>
        <v>#REF!</v>
      </c>
      <c r="J24" s="37"/>
      <c r="K24" s="29" t="e">
        <f>+($I24/1609.34)*5280/(100)*$D$43</f>
        <v>#REF!</v>
      </c>
      <c r="L24" s="97">
        <v>545</v>
      </c>
      <c r="M24" s="29"/>
      <c r="N24" s="29">
        <v>0</v>
      </c>
      <c r="O24" s="29" t="e">
        <f>+N24+K24</f>
        <v>#REF!</v>
      </c>
      <c r="P24" s="36"/>
      <c r="Q24" s="51" t="e">
        <f>+($I24/1609.34)*5280/(100)*$H$45</f>
        <v>#REF!</v>
      </c>
      <c r="R24" s="52"/>
      <c r="S24" s="85"/>
      <c r="T24" s="53"/>
      <c r="U24" s="36"/>
      <c r="V24" s="85"/>
      <c r="W24" s="85"/>
      <c r="X24" s="85"/>
      <c r="Y24" s="85"/>
      <c r="Z24" s="85"/>
      <c r="AA24" s="51" t="e">
        <f t="shared" ref="AA24:AA42" si="1">+($I24/1609.34)*5280/(100)*$D$45</f>
        <v>#REF!</v>
      </c>
      <c r="AB24" s="52"/>
      <c r="AC24" s="53"/>
      <c r="AD24" s="36"/>
      <c r="AE24" s="51" t="e">
        <f t="shared" ref="AE24:AE42" si="2">+($I24/1609.34)*5280/(100)*$D$44</f>
        <v>#REF!</v>
      </c>
      <c r="AF24" s="52"/>
      <c r="AG24" s="53"/>
      <c r="AH24" s="36"/>
      <c r="AI24" s="62"/>
      <c r="AK24" s="21"/>
      <c r="AL24" s="87">
        <v>1</v>
      </c>
    </row>
    <row r="25" spans="2:40" s="3" customFormat="1" x14ac:dyDescent="0.3">
      <c r="B25" s="1">
        <v>15</v>
      </c>
      <c r="C25" s="1">
        <f t="shared" si="0"/>
        <v>3369.5999999999995</v>
      </c>
      <c r="D25" s="5">
        <v>4.8000000000000001E-2</v>
      </c>
      <c r="E25" s="10">
        <v>0.112</v>
      </c>
      <c r="F25" s="1">
        <v>70</v>
      </c>
      <c r="G25" s="1">
        <v>10</v>
      </c>
      <c r="H25" s="1"/>
      <c r="I25" s="90">
        <v>500</v>
      </c>
      <c r="J25" s="15">
        <f t="shared" ref="J25:J42" si="3">+I25/1609.34</f>
        <v>0.31068636832490337</v>
      </c>
      <c r="K25" s="29">
        <f t="shared" ref="K25:K88" si="4">+($I25/1609.34)*5280/(100)*$D$43</f>
        <v>6.8897809039730573</v>
      </c>
      <c r="L25" s="98">
        <v>535</v>
      </c>
      <c r="M25" s="58">
        <f t="shared" ref="M25" si="5">-(L24-L25)/10</f>
        <v>-1</v>
      </c>
      <c r="N25" s="58">
        <v>0</v>
      </c>
      <c r="O25" s="58">
        <f t="shared" ref="O25:O29" si="6">+K25+N25*14.8</f>
        <v>6.8897809039730573</v>
      </c>
      <c r="P25" s="54">
        <f t="shared" ref="P25" si="7">+O25/14.5</f>
        <v>0.47515730372227982</v>
      </c>
      <c r="Q25" s="68">
        <f t="shared" ref="Q25:Q42" si="8">+($I25/1609.34)*5280/(100)*$D$47</f>
        <v>18.278424695838044</v>
      </c>
      <c r="R25" s="65">
        <f t="shared" ref="R25:R78" si="9">+N25</f>
        <v>0</v>
      </c>
      <c r="S25" s="65">
        <f t="shared" ref="S25:S57" si="10">+T25</f>
        <v>18.278424695838044</v>
      </c>
      <c r="T25" s="65">
        <f t="shared" ref="T25:T57" si="11">+Q25+R25*14.8</f>
        <v>18.278424695838044</v>
      </c>
      <c r="U25" s="60">
        <f t="shared" ref="U25:U89" si="12">+T25/14.5</f>
        <v>1.260581013506072</v>
      </c>
      <c r="V25" s="65"/>
      <c r="W25" s="65"/>
      <c r="X25" s="65"/>
      <c r="Y25" s="65"/>
      <c r="Z25" s="65"/>
      <c r="AA25" s="68">
        <f t="shared" si="1"/>
        <v>14.550561099581195</v>
      </c>
      <c r="AB25" s="65">
        <f t="shared" ref="AB25:AB57" si="13">+N25</f>
        <v>0</v>
      </c>
      <c r="AC25" s="65">
        <f t="shared" ref="AC25:AC57" si="14">+AA25+AB25*14.8</f>
        <v>14.550561099581195</v>
      </c>
      <c r="AD25" s="60">
        <f t="shared" ref="AD25:AD57" si="15">+AC25/14.5</f>
        <v>1.00348697238491</v>
      </c>
      <c r="AE25" s="68">
        <f t="shared" si="2"/>
        <v>10.301862875464476</v>
      </c>
      <c r="AF25" s="73">
        <f t="shared" ref="AF25:AF57" si="16">+N25</f>
        <v>0</v>
      </c>
      <c r="AG25" s="65">
        <f t="shared" ref="AG25:AG78" si="17">+AE25+AF25*14.8</f>
        <v>10.301862875464476</v>
      </c>
      <c r="AH25" s="60">
        <f t="shared" ref="AH25:AH89" si="18">+AG25/14.5</f>
        <v>0.71047330175617074</v>
      </c>
      <c r="AI25" s="62"/>
      <c r="AK25" s="21"/>
      <c r="AL25" s="94"/>
      <c r="AM25" s="87"/>
      <c r="AN25" s="87"/>
    </row>
    <row r="26" spans="2:40" s="3" customFormat="1" x14ac:dyDescent="0.3">
      <c r="B26" s="1">
        <v>17</v>
      </c>
      <c r="C26" s="1">
        <f t="shared" si="0"/>
        <v>3818.88</v>
      </c>
      <c r="D26" s="5">
        <v>5.6000000000000001E-2</v>
      </c>
      <c r="E26" s="10">
        <v>0.129</v>
      </c>
      <c r="F26" s="1"/>
      <c r="I26" s="90">
        <v>1000</v>
      </c>
      <c r="J26" s="15">
        <f t="shared" si="3"/>
        <v>0.62137273664980675</v>
      </c>
      <c r="K26" s="29">
        <f t="shared" si="4"/>
        <v>13.779561807946115</v>
      </c>
      <c r="L26" s="97">
        <v>518</v>
      </c>
      <c r="M26" s="58">
        <f t="shared" ref="M26:M43" si="19">-(L25-L26)/10</f>
        <v>-1.7</v>
      </c>
      <c r="N26" s="58">
        <f t="shared" ref="N26:N43" si="20">+N25+M26</f>
        <v>-1.7</v>
      </c>
      <c r="O26" s="58">
        <f t="shared" si="6"/>
        <v>-11.380438192053886</v>
      </c>
      <c r="P26" s="54">
        <f t="shared" ref="P26:P42" si="21">+O26/14.5</f>
        <v>-0.78485780634854385</v>
      </c>
      <c r="Q26" s="68">
        <f t="shared" si="8"/>
        <v>36.556849391676089</v>
      </c>
      <c r="R26" s="65">
        <f t="shared" si="9"/>
        <v>-1.7</v>
      </c>
      <c r="S26" s="65">
        <f t="shared" si="10"/>
        <v>11.396849391676088</v>
      </c>
      <c r="T26" s="65">
        <f t="shared" si="11"/>
        <v>11.396849391676088</v>
      </c>
      <c r="U26" s="60">
        <f t="shared" si="12"/>
        <v>0.78598961321904059</v>
      </c>
      <c r="V26" s="65"/>
      <c r="W26" s="65"/>
      <c r="X26" s="65"/>
      <c r="Y26" s="65"/>
      <c r="Z26" s="65"/>
      <c r="AA26" s="68">
        <f t="shared" si="1"/>
        <v>29.10112219916239</v>
      </c>
      <c r="AB26" s="65">
        <f t="shared" si="13"/>
        <v>-1.7</v>
      </c>
      <c r="AC26" s="65">
        <f t="shared" si="14"/>
        <v>3.9411221991623897</v>
      </c>
      <c r="AD26" s="60">
        <f t="shared" si="15"/>
        <v>0.27180153097671655</v>
      </c>
      <c r="AE26" s="68">
        <f t="shared" si="2"/>
        <v>20.603725750928952</v>
      </c>
      <c r="AF26" s="73">
        <f t="shared" si="16"/>
        <v>-1.7</v>
      </c>
      <c r="AG26" s="65">
        <f t="shared" si="17"/>
        <v>-4.5562742490710484</v>
      </c>
      <c r="AH26" s="60">
        <f t="shared" si="18"/>
        <v>-0.31422581028076196</v>
      </c>
      <c r="AI26" s="62"/>
      <c r="AK26" s="21"/>
      <c r="AL26" s="87"/>
    </row>
    <row r="27" spans="2:40" s="3" customFormat="1" x14ac:dyDescent="0.3">
      <c r="B27" s="1">
        <v>18</v>
      </c>
      <c r="C27" s="1">
        <f t="shared" si="0"/>
        <v>4043.5199999999995</v>
      </c>
      <c r="D27" s="5">
        <v>6.5000000000000002E-2</v>
      </c>
      <c r="E27" s="10">
        <v>0.151</v>
      </c>
      <c r="F27" s="1"/>
      <c r="I27" s="90">
        <v>1500</v>
      </c>
      <c r="J27" s="15">
        <f t="shared" si="3"/>
        <v>0.93205910497471023</v>
      </c>
      <c r="K27" s="29">
        <f t="shared" si="4"/>
        <v>20.669342711919171</v>
      </c>
      <c r="L27" s="98">
        <v>508</v>
      </c>
      <c r="M27" s="58">
        <f t="shared" si="19"/>
        <v>-1</v>
      </c>
      <c r="N27" s="58">
        <f t="shared" si="20"/>
        <v>-2.7</v>
      </c>
      <c r="O27" s="58">
        <f t="shared" si="6"/>
        <v>-19.290657288080837</v>
      </c>
      <c r="P27" s="54">
        <f t="shared" si="21"/>
        <v>-1.3303901577986783</v>
      </c>
      <c r="Q27" s="68">
        <f t="shared" si="8"/>
        <v>54.835274087514129</v>
      </c>
      <c r="R27" s="65">
        <f t="shared" si="9"/>
        <v>-2.7</v>
      </c>
      <c r="S27" s="65">
        <f t="shared" si="10"/>
        <v>14.875274087514121</v>
      </c>
      <c r="T27" s="65">
        <f t="shared" si="11"/>
        <v>14.875274087514121</v>
      </c>
      <c r="U27" s="60">
        <f t="shared" si="12"/>
        <v>1.025880971552698</v>
      </c>
      <c r="V27" s="65"/>
      <c r="W27" s="65"/>
      <c r="X27" s="65"/>
      <c r="Y27" s="65"/>
      <c r="Z27" s="65"/>
      <c r="AA27" s="68">
        <f t="shared" si="1"/>
        <v>43.651683298743585</v>
      </c>
      <c r="AB27" s="65">
        <f t="shared" si="13"/>
        <v>-2.7</v>
      </c>
      <c r="AC27" s="65">
        <f t="shared" si="14"/>
        <v>3.6916832987435768</v>
      </c>
      <c r="AD27" s="60">
        <f t="shared" si="15"/>
        <v>0.25459884818921219</v>
      </c>
      <c r="AE27" s="68">
        <f t="shared" si="2"/>
        <v>30.905588626393428</v>
      </c>
      <c r="AF27" s="73">
        <f t="shared" si="16"/>
        <v>-2.7</v>
      </c>
      <c r="AG27" s="65">
        <f t="shared" si="17"/>
        <v>-9.0544113736065803</v>
      </c>
      <c r="AH27" s="60">
        <f t="shared" si="18"/>
        <v>-0.62444216369700556</v>
      </c>
      <c r="AI27" s="62"/>
      <c r="AK27" s="21"/>
      <c r="AL27" s="87"/>
    </row>
    <row r="28" spans="2:40" s="3" customFormat="1" x14ac:dyDescent="0.3">
      <c r="B28" s="1">
        <v>19</v>
      </c>
      <c r="C28" s="1">
        <f t="shared" si="0"/>
        <v>4268.16</v>
      </c>
      <c r="D28" s="5">
        <v>7.3999999999999996E-2</v>
      </c>
      <c r="E28" s="10">
        <v>0.16800000000000001</v>
      </c>
      <c r="F28" s="1"/>
      <c r="I28" s="90">
        <v>2000</v>
      </c>
      <c r="J28" s="15">
        <f t="shared" si="3"/>
        <v>1.2427454732996135</v>
      </c>
      <c r="K28" s="29">
        <f t="shared" si="4"/>
        <v>27.559123615892229</v>
      </c>
      <c r="L28" s="97">
        <v>505</v>
      </c>
      <c r="M28" s="58">
        <f t="shared" si="19"/>
        <v>-0.3</v>
      </c>
      <c r="N28" s="44">
        <f t="shared" si="20"/>
        <v>-3</v>
      </c>
      <c r="O28" s="58">
        <f t="shared" si="6"/>
        <v>-16.840876384107776</v>
      </c>
      <c r="P28" s="54">
        <f t="shared" si="21"/>
        <v>-1.1614397506281224</v>
      </c>
      <c r="Q28" s="68">
        <f t="shared" si="8"/>
        <v>73.113698783352177</v>
      </c>
      <c r="R28" s="65">
        <f t="shared" si="9"/>
        <v>-3</v>
      </c>
      <c r="S28" s="65">
        <f t="shared" si="10"/>
        <v>28.713698783352172</v>
      </c>
      <c r="T28" s="65">
        <f t="shared" si="11"/>
        <v>28.713698783352172</v>
      </c>
      <c r="U28" s="60">
        <f t="shared" si="12"/>
        <v>1.9802550885070462</v>
      </c>
      <c r="V28" s="65"/>
      <c r="W28" s="65"/>
      <c r="X28" s="65"/>
      <c r="Y28" s="65"/>
      <c r="Z28" s="65"/>
      <c r="AA28" s="68">
        <f t="shared" si="1"/>
        <v>58.20224439832478</v>
      </c>
      <c r="AB28" s="65">
        <f t="shared" si="13"/>
        <v>-3</v>
      </c>
      <c r="AC28" s="65">
        <f t="shared" si="14"/>
        <v>13.802244398324774</v>
      </c>
      <c r="AD28" s="60">
        <f t="shared" si="15"/>
        <v>0.95187892402239815</v>
      </c>
      <c r="AE28" s="68">
        <f t="shared" si="2"/>
        <v>41.207451501857904</v>
      </c>
      <c r="AF28" s="73">
        <f t="shared" si="16"/>
        <v>-3</v>
      </c>
      <c r="AG28" s="65">
        <f t="shared" si="17"/>
        <v>-3.1925484981421022</v>
      </c>
      <c r="AH28" s="60">
        <f t="shared" si="18"/>
        <v>-0.22017575849255877</v>
      </c>
      <c r="AI28" s="62"/>
      <c r="AK28" s="21"/>
      <c r="AL28" s="87"/>
    </row>
    <row r="29" spans="2:40" s="3" customFormat="1" x14ac:dyDescent="0.3">
      <c r="B29" s="1">
        <v>20</v>
      </c>
      <c r="C29" s="1">
        <f t="shared" si="0"/>
        <v>4492.8</v>
      </c>
      <c r="D29" s="5">
        <v>8.2000000000000003E-2</v>
      </c>
      <c r="E29" s="10">
        <v>0.19</v>
      </c>
      <c r="F29" s="1"/>
      <c r="I29" s="90">
        <v>2500</v>
      </c>
      <c r="J29" s="15">
        <f t="shared" si="3"/>
        <v>1.553431841624517</v>
      </c>
      <c r="K29" s="29">
        <f t="shared" si="4"/>
        <v>34.448904519865287</v>
      </c>
      <c r="L29" s="98">
        <v>504</v>
      </c>
      <c r="M29" s="58">
        <f t="shared" si="19"/>
        <v>-0.1</v>
      </c>
      <c r="N29" s="44">
        <f t="shared" si="20"/>
        <v>-3.1</v>
      </c>
      <c r="O29" s="58">
        <f t="shared" si="6"/>
        <v>-11.431095480134715</v>
      </c>
      <c r="P29" s="54">
        <f t="shared" si="21"/>
        <v>-0.78835141242308382</v>
      </c>
      <c r="Q29" s="68">
        <f t="shared" si="8"/>
        <v>91.392123479190218</v>
      </c>
      <c r="R29" s="65">
        <f t="shared" si="9"/>
        <v>-3.1</v>
      </c>
      <c r="S29" s="65">
        <f t="shared" si="10"/>
        <v>45.512123479190215</v>
      </c>
      <c r="T29" s="65">
        <f t="shared" si="11"/>
        <v>45.512123479190215</v>
      </c>
      <c r="U29" s="60">
        <f t="shared" si="12"/>
        <v>3.1387671364958769</v>
      </c>
      <c r="V29" s="65"/>
      <c r="W29" s="65"/>
      <c r="X29" s="65"/>
      <c r="Y29" s="65"/>
      <c r="Z29" s="65"/>
      <c r="AA29" s="68">
        <f t="shared" si="1"/>
        <v>72.752805497905968</v>
      </c>
      <c r="AB29" s="65">
        <f t="shared" si="13"/>
        <v>-3.1</v>
      </c>
      <c r="AC29" s="65">
        <f t="shared" si="14"/>
        <v>26.872805497905965</v>
      </c>
      <c r="AD29" s="60">
        <f t="shared" si="15"/>
        <v>1.8532969308900666</v>
      </c>
      <c r="AE29" s="68">
        <f t="shared" si="2"/>
        <v>51.509314377322383</v>
      </c>
      <c r="AF29" s="73">
        <f t="shared" si="16"/>
        <v>-3.1</v>
      </c>
      <c r="AG29" s="65">
        <f t="shared" si="17"/>
        <v>5.6293143773223804</v>
      </c>
      <c r="AH29" s="60">
        <f t="shared" si="18"/>
        <v>0.38822857774637104</v>
      </c>
      <c r="AI29" s="62"/>
      <c r="AK29" s="21"/>
      <c r="AL29" s="87"/>
    </row>
    <row r="30" spans="2:40" s="3" customFormat="1" x14ac:dyDescent="0.3">
      <c r="B30" s="1">
        <v>21</v>
      </c>
      <c r="C30" s="1">
        <f t="shared" si="0"/>
        <v>4717.4400000000005</v>
      </c>
      <c r="D30" s="5">
        <v>9.0999999999999998E-2</v>
      </c>
      <c r="E30" s="10">
        <v>0.21199999999999999</v>
      </c>
      <c r="F30" s="1"/>
      <c r="I30" s="90">
        <v>3000</v>
      </c>
      <c r="J30" s="15">
        <f t="shared" si="3"/>
        <v>1.8641182099494205</v>
      </c>
      <c r="K30" s="29">
        <f>+($I30/1609.34)*5280/(100)*$D$43</f>
        <v>41.338685423838342</v>
      </c>
      <c r="L30" s="97">
        <v>503</v>
      </c>
      <c r="M30" s="58">
        <f t="shared" si="19"/>
        <v>-0.1</v>
      </c>
      <c r="N30" s="44">
        <f t="shared" si="20"/>
        <v>-3.2</v>
      </c>
      <c r="O30" s="44">
        <f t="shared" ref="O30:O42" si="22">+K30+N30*14.8</f>
        <v>-6.0213145761616644</v>
      </c>
      <c r="P30" s="54">
        <f t="shared" si="21"/>
        <v>-0.41526307421804581</v>
      </c>
      <c r="Q30" s="68">
        <f t="shared" si="8"/>
        <v>109.67054817502826</v>
      </c>
      <c r="R30" s="65">
        <f t="shared" si="9"/>
        <v>-3.2</v>
      </c>
      <c r="S30" s="65">
        <f t="shared" si="10"/>
        <v>62.310548175028252</v>
      </c>
      <c r="T30" s="65">
        <f t="shared" si="11"/>
        <v>62.310548175028252</v>
      </c>
      <c r="U30" s="60">
        <f t="shared" si="12"/>
        <v>4.2972791844847071</v>
      </c>
      <c r="V30" s="65"/>
      <c r="W30" s="65"/>
      <c r="X30" s="65"/>
      <c r="Y30" s="65"/>
      <c r="Z30" s="65"/>
      <c r="AA30" s="68">
        <f t="shared" si="1"/>
        <v>87.30336659748717</v>
      </c>
      <c r="AB30" s="65">
        <f t="shared" si="13"/>
        <v>-3.2</v>
      </c>
      <c r="AC30" s="65">
        <f t="shared" si="14"/>
        <v>39.943366597487163</v>
      </c>
      <c r="AD30" s="60">
        <f t="shared" si="15"/>
        <v>2.7547149377577353</v>
      </c>
      <c r="AE30" s="68">
        <f t="shared" si="2"/>
        <v>61.811177252786855</v>
      </c>
      <c r="AF30" s="73">
        <f t="shared" si="16"/>
        <v>-3.2</v>
      </c>
      <c r="AG30" s="65">
        <f t="shared" si="17"/>
        <v>14.451177252786849</v>
      </c>
      <c r="AH30" s="60">
        <f t="shared" si="18"/>
        <v>0.99663291398529996</v>
      </c>
      <c r="AI30" s="62"/>
      <c r="AJ30" s="3" t="s">
        <v>62</v>
      </c>
      <c r="AK30" s="21">
        <v>2930</v>
      </c>
      <c r="AL30" s="87"/>
    </row>
    <row r="31" spans="2:40" s="3" customFormat="1" x14ac:dyDescent="0.3">
      <c r="B31" s="1">
        <v>23</v>
      </c>
      <c r="C31" s="1">
        <f t="shared" si="0"/>
        <v>5166.72</v>
      </c>
      <c r="D31" s="5">
        <v>0.1</v>
      </c>
      <c r="E31" s="10">
        <v>0.23300000000000001</v>
      </c>
      <c r="F31" s="1"/>
      <c r="I31" s="90">
        <v>3500</v>
      </c>
      <c r="J31" s="29">
        <f t="shared" si="3"/>
        <v>2.1748045782743239</v>
      </c>
      <c r="K31" s="29">
        <f t="shared" si="4"/>
        <v>48.228466327811411</v>
      </c>
      <c r="L31" s="98">
        <v>502</v>
      </c>
      <c r="M31" s="58">
        <f t="shared" si="19"/>
        <v>-0.1</v>
      </c>
      <c r="N31" s="44">
        <f t="shared" si="20"/>
        <v>-3.3000000000000003</v>
      </c>
      <c r="O31" s="44">
        <f t="shared" si="22"/>
        <v>-0.61153367218859245</v>
      </c>
      <c r="P31" s="61">
        <f t="shared" si="21"/>
        <v>-4.2174736013006378E-2</v>
      </c>
      <c r="Q31" s="68">
        <f t="shared" si="8"/>
        <v>127.94897287086634</v>
      </c>
      <c r="R31" s="65">
        <f t="shared" si="9"/>
        <v>-3.3000000000000003</v>
      </c>
      <c r="S31" s="65">
        <f t="shared" si="10"/>
        <v>79.108972870866339</v>
      </c>
      <c r="T31" s="65">
        <f t="shared" si="11"/>
        <v>79.108972870866339</v>
      </c>
      <c r="U31" s="60">
        <f t="shared" si="12"/>
        <v>5.4557912324735405</v>
      </c>
      <c r="V31" s="65"/>
      <c r="W31" s="65"/>
      <c r="X31" s="65"/>
      <c r="Y31" s="65"/>
      <c r="Z31" s="65"/>
      <c r="AA31" s="68">
        <f t="shared" si="1"/>
        <v>101.85392769706839</v>
      </c>
      <c r="AB31" s="65">
        <f t="shared" si="13"/>
        <v>-3.3000000000000003</v>
      </c>
      <c r="AC31" s="65">
        <f t="shared" si="14"/>
        <v>53.013927697068382</v>
      </c>
      <c r="AD31" s="60">
        <f t="shared" si="15"/>
        <v>3.6561329446254058</v>
      </c>
      <c r="AE31" s="68">
        <f t="shared" si="2"/>
        <v>72.113040128251342</v>
      </c>
      <c r="AF31" s="73">
        <f t="shared" si="16"/>
        <v>-3.3000000000000003</v>
      </c>
      <c r="AG31" s="65">
        <f t="shared" si="17"/>
        <v>23.273040128251338</v>
      </c>
      <c r="AH31" s="60">
        <f t="shared" si="18"/>
        <v>1.6050372502242303</v>
      </c>
      <c r="AI31" s="62"/>
      <c r="AK31" s="21"/>
      <c r="AL31" s="87"/>
    </row>
    <row r="32" spans="2:40" s="3" customFormat="1" x14ac:dyDescent="0.3">
      <c r="B32" s="1">
        <v>24</v>
      </c>
      <c r="C32" s="1">
        <f t="shared" si="0"/>
        <v>5391.36</v>
      </c>
      <c r="D32" s="5">
        <v>0.113</v>
      </c>
      <c r="E32" s="10">
        <v>0.26</v>
      </c>
      <c r="F32" s="1"/>
      <c r="I32" s="90">
        <v>4000</v>
      </c>
      <c r="J32" s="15">
        <f t="shared" si="3"/>
        <v>2.485490946599227</v>
      </c>
      <c r="K32" s="29">
        <f t="shared" si="4"/>
        <v>55.118247231784459</v>
      </c>
      <c r="L32" s="97">
        <v>502</v>
      </c>
      <c r="M32" s="58">
        <f t="shared" si="19"/>
        <v>0</v>
      </c>
      <c r="N32" s="44">
        <f t="shared" si="20"/>
        <v>-3.3000000000000003</v>
      </c>
      <c r="O32" s="44">
        <f t="shared" si="22"/>
        <v>6.2782472317844551</v>
      </c>
      <c r="P32" s="61">
        <f t="shared" si="21"/>
        <v>0.43298256770927279</v>
      </c>
      <c r="Q32" s="68">
        <f t="shared" si="8"/>
        <v>146.22739756670435</v>
      </c>
      <c r="R32" s="65">
        <f t="shared" si="9"/>
        <v>-3.3000000000000003</v>
      </c>
      <c r="S32" s="65">
        <f t="shared" si="10"/>
        <v>97.387397566704351</v>
      </c>
      <c r="T32" s="65">
        <f t="shared" si="11"/>
        <v>97.387397566704351</v>
      </c>
      <c r="U32" s="60">
        <f t="shared" si="12"/>
        <v>6.7163722459796107</v>
      </c>
      <c r="V32" s="65"/>
      <c r="W32" s="65"/>
      <c r="X32" s="65"/>
      <c r="Y32" s="65"/>
      <c r="Z32" s="65"/>
      <c r="AA32" s="68">
        <f t="shared" si="1"/>
        <v>116.40448879664956</v>
      </c>
      <c r="AB32" s="65">
        <f t="shared" si="13"/>
        <v>-3.3000000000000003</v>
      </c>
      <c r="AC32" s="65">
        <f t="shared" si="14"/>
        <v>67.564488796649556</v>
      </c>
      <c r="AD32" s="60">
        <f t="shared" si="15"/>
        <v>4.6596199170103141</v>
      </c>
      <c r="AE32" s="68">
        <f t="shared" si="2"/>
        <v>82.414903003715807</v>
      </c>
      <c r="AF32" s="73">
        <f t="shared" si="16"/>
        <v>-3.3000000000000003</v>
      </c>
      <c r="AG32" s="65">
        <f t="shared" si="17"/>
        <v>33.574903003715804</v>
      </c>
      <c r="AH32" s="60">
        <f t="shared" si="18"/>
        <v>2.3155105519804002</v>
      </c>
      <c r="AI32" s="72"/>
      <c r="AK32" s="21"/>
      <c r="AL32" s="87"/>
    </row>
    <row r="33" spans="2:38" s="3" customFormat="1" x14ac:dyDescent="0.3">
      <c r="B33" s="1">
        <v>26</v>
      </c>
      <c r="C33" s="1">
        <f t="shared" si="0"/>
        <v>5840.64</v>
      </c>
      <c r="D33" s="5">
        <v>0.13</v>
      </c>
      <c r="E33" s="10">
        <v>0.311</v>
      </c>
      <c r="F33" s="1"/>
      <c r="I33" s="90">
        <v>4500</v>
      </c>
      <c r="J33" s="27">
        <f t="shared" si="3"/>
        <v>2.7961773149241305</v>
      </c>
      <c r="K33" s="29">
        <f t="shared" si="4"/>
        <v>62.008028135757513</v>
      </c>
      <c r="L33" s="98">
        <v>501</v>
      </c>
      <c r="M33" s="58">
        <f t="shared" si="19"/>
        <v>-0.1</v>
      </c>
      <c r="N33" s="44">
        <f t="shared" si="20"/>
        <v>-3.4000000000000004</v>
      </c>
      <c r="O33" s="44">
        <f t="shared" si="22"/>
        <v>11.688028135757506</v>
      </c>
      <c r="P33" s="61">
        <f t="shared" si="21"/>
        <v>0.80607090591431074</v>
      </c>
      <c r="Q33" s="68">
        <f t="shared" si="8"/>
        <v>164.50582226254241</v>
      </c>
      <c r="R33" s="65">
        <f t="shared" si="9"/>
        <v>-3.4000000000000004</v>
      </c>
      <c r="S33" s="65">
        <f t="shared" si="10"/>
        <v>114.1858222625424</v>
      </c>
      <c r="T33" s="65">
        <f t="shared" si="11"/>
        <v>114.1858222625424</v>
      </c>
      <c r="U33" s="60">
        <f t="shared" si="12"/>
        <v>7.8748842939684414</v>
      </c>
      <c r="V33" s="65"/>
      <c r="W33" s="65"/>
      <c r="X33" s="65"/>
      <c r="Y33" s="65"/>
      <c r="Z33" s="65"/>
      <c r="AA33" s="68">
        <f t="shared" si="1"/>
        <v>130.95504989623075</v>
      </c>
      <c r="AB33" s="65">
        <f t="shared" si="13"/>
        <v>-3.4000000000000004</v>
      </c>
      <c r="AC33" s="65">
        <f t="shared" si="14"/>
        <v>80.63504989623074</v>
      </c>
      <c r="AD33" s="60">
        <f t="shared" si="15"/>
        <v>5.5610379238779819</v>
      </c>
      <c r="AE33" s="68">
        <f t="shared" si="2"/>
        <v>92.716765879180286</v>
      </c>
      <c r="AF33" s="73">
        <f t="shared" si="16"/>
        <v>-3.4000000000000004</v>
      </c>
      <c r="AG33" s="65">
        <f t="shared" si="17"/>
        <v>42.396765879180279</v>
      </c>
      <c r="AH33" s="60">
        <f t="shared" si="18"/>
        <v>2.9239148882193295</v>
      </c>
      <c r="AI33" s="62"/>
      <c r="AK33" s="21"/>
      <c r="AL33" s="87"/>
    </row>
    <row r="34" spans="2:38" s="3" customFormat="1" x14ac:dyDescent="0.3">
      <c r="B34" s="1">
        <v>29</v>
      </c>
      <c r="C34" s="1">
        <f t="shared" si="0"/>
        <v>6514.5599999999995</v>
      </c>
      <c r="D34" s="5">
        <v>0.152</v>
      </c>
      <c r="E34" s="10">
        <v>0.36699999999999999</v>
      </c>
      <c r="F34" s="1"/>
      <c r="I34" s="90">
        <v>5000</v>
      </c>
      <c r="J34" s="15">
        <f t="shared" si="3"/>
        <v>3.1068636832490339</v>
      </c>
      <c r="K34" s="29">
        <f t="shared" si="4"/>
        <v>68.897809039730575</v>
      </c>
      <c r="L34" s="97">
        <v>501</v>
      </c>
      <c r="M34" s="58">
        <f t="shared" si="19"/>
        <v>0</v>
      </c>
      <c r="N34" s="44">
        <f t="shared" si="20"/>
        <v>-3.4000000000000004</v>
      </c>
      <c r="O34" s="44">
        <f t="shared" si="22"/>
        <v>18.577809039730568</v>
      </c>
      <c r="P34" s="61">
        <f t="shared" si="21"/>
        <v>1.2812282096365908</v>
      </c>
      <c r="Q34" s="68">
        <f t="shared" si="8"/>
        <v>182.78424695838044</v>
      </c>
      <c r="R34" s="65">
        <f t="shared" si="9"/>
        <v>-3.4000000000000004</v>
      </c>
      <c r="S34" s="65">
        <f t="shared" si="10"/>
        <v>132.46424695838044</v>
      </c>
      <c r="T34" s="65">
        <f t="shared" si="11"/>
        <v>132.46424695838044</v>
      </c>
      <c r="U34" s="60">
        <f t="shared" si="12"/>
        <v>9.1354653074745134</v>
      </c>
      <c r="V34" s="65"/>
      <c r="W34" s="65"/>
      <c r="X34" s="65"/>
      <c r="Y34" s="65"/>
      <c r="Z34" s="65"/>
      <c r="AA34" s="68">
        <f t="shared" si="1"/>
        <v>145.50561099581194</v>
      </c>
      <c r="AB34" s="65">
        <f t="shared" si="13"/>
        <v>-3.4000000000000004</v>
      </c>
      <c r="AC34" s="65">
        <f t="shared" si="14"/>
        <v>95.185610995811928</v>
      </c>
      <c r="AD34" s="60">
        <f t="shared" si="15"/>
        <v>6.5645248962628919</v>
      </c>
      <c r="AE34" s="68">
        <f t="shared" si="2"/>
        <v>103.01862875464477</v>
      </c>
      <c r="AF34" s="73">
        <f t="shared" si="16"/>
        <v>-3.4000000000000004</v>
      </c>
      <c r="AG34" s="65">
        <f t="shared" si="17"/>
        <v>52.698628754644758</v>
      </c>
      <c r="AH34" s="60">
        <f t="shared" si="18"/>
        <v>3.6343881899755006</v>
      </c>
      <c r="AI34" s="62"/>
      <c r="AK34" s="21"/>
      <c r="AL34" s="87"/>
    </row>
    <row r="35" spans="2:38" s="3" customFormat="1" x14ac:dyDescent="0.3">
      <c r="B35" s="1">
        <v>31</v>
      </c>
      <c r="C35" s="1">
        <f t="shared" si="0"/>
        <v>6963.84</v>
      </c>
      <c r="D35" s="5">
        <v>0.17299999999999999</v>
      </c>
      <c r="E35" s="10">
        <v>0.42899999999999999</v>
      </c>
      <c r="F35" s="1"/>
      <c r="I35" s="90">
        <v>5500</v>
      </c>
      <c r="J35" s="15">
        <f t="shared" si="3"/>
        <v>3.4175500515739374</v>
      </c>
      <c r="K35" s="29">
        <f t="shared" si="4"/>
        <v>75.787589943703637</v>
      </c>
      <c r="L35" s="98">
        <v>500</v>
      </c>
      <c r="M35" s="58">
        <f t="shared" si="19"/>
        <v>-0.1</v>
      </c>
      <c r="N35" s="44">
        <f t="shared" si="20"/>
        <v>-3.5000000000000004</v>
      </c>
      <c r="O35" s="44">
        <f t="shared" si="22"/>
        <v>23.987589943703625</v>
      </c>
      <c r="P35" s="61">
        <f t="shared" si="21"/>
        <v>1.6543165478416293</v>
      </c>
      <c r="Q35" s="68">
        <f t="shared" si="8"/>
        <v>201.06267165421852</v>
      </c>
      <c r="R35" s="65">
        <f t="shared" si="9"/>
        <v>-3.5000000000000004</v>
      </c>
      <c r="S35" s="65">
        <f t="shared" si="10"/>
        <v>149.26267165421851</v>
      </c>
      <c r="T35" s="65">
        <f t="shared" si="11"/>
        <v>149.26267165421851</v>
      </c>
      <c r="U35" s="60">
        <f t="shared" si="12"/>
        <v>10.293977355463346</v>
      </c>
      <c r="V35" s="65"/>
      <c r="W35" s="65"/>
      <c r="X35" s="65"/>
      <c r="Y35" s="65"/>
      <c r="Z35" s="65"/>
      <c r="AA35" s="69">
        <f t="shared" si="1"/>
        <v>160.05617209539318</v>
      </c>
      <c r="AB35" s="65">
        <f t="shared" si="13"/>
        <v>-3.5000000000000004</v>
      </c>
      <c r="AC35" s="65">
        <f t="shared" si="14"/>
        <v>108.25617209539317</v>
      </c>
      <c r="AD35" s="60">
        <f t="shared" si="15"/>
        <v>7.4659429031305633</v>
      </c>
      <c r="AE35" s="68">
        <f t="shared" si="2"/>
        <v>113.32049163010926</v>
      </c>
      <c r="AF35" s="73">
        <f t="shared" si="16"/>
        <v>-3.5000000000000004</v>
      </c>
      <c r="AG35" s="65">
        <f t="shared" si="17"/>
        <v>61.520491630109248</v>
      </c>
      <c r="AH35" s="60">
        <f t="shared" si="18"/>
        <v>4.2427925262144308</v>
      </c>
      <c r="AI35" s="62"/>
      <c r="AK35" s="21">
        <v>5770</v>
      </c>
      <c r="AL35" s="87"/>
    </row>
    <row r="36" spans="2:38" s="3" customFormat="1" x14ac:dyDescent="0.3">
      <c r="B36" s="1">
        <v>33</v>
      </c>
      <c r="C36" s="1">
        <f t="shared" si="0"/>
        <v>7413.12</v>
      </c>
      <c r="D36" s="5">
        <v>0.19900000000000001</v>
      </c>
      <c r="E36" s="10">
        <v>0.498</v>
      </c>
      <c r="F36" s="1"/>
      <c r="I36" s="90">
        <v>6000</v>
      </c>
      <c r="J36" s="15">
        <f t="shared" si="3"/>
        <v>3.7282364198988409</v>
      </c>
      <c r="K36" s="29">
        <f t="shared" si="4"/>
        <v>82.677370847676684</v>
      </c>
      <c r="L36" s="97">
        <v>462</v>
      </c>
      <c r="M36" s="58">
        <f t="shared" si="19"/>
        <v>-3.8</v>
      </c>
      <c r="N36" s="44">
        <f t="shared" si="20"/>
        <v>-7.3000000000000007</v>
      </c>
      <c r="O36" s="44">
        <f t="shared" si="22"/>
        <v>-25.362629152323336</v>
      </c>
      <c r="P36" s="61">
        <f t="shared" si="21"/>
        <v>-1.7491468380912645</v>
      </c>
      <c r="Q36" s="68">
        <f t="shared" si="8"/>
        <v>219.34109635005652</v>
      </c>
      <c r="R36" s="65">
        <f t="shared" si="9"/>
        <v>-7.3000000000000007</v>
      </c>
      <c r="S36" s="65">
        <f t="shared" si="10"/>
        <v>111.3010963500565</v>
      </c>
      <c r="T36" s="65">
        <f t="shared" si="11"/>
        <v>111.3010963500565</v>
      </c>
      <c r="U36" s="60">
        <f t="shared" si="12"/>
        <v>7.6759376793142415</v>
      </c>
      <c r="V36" s="65"/>
      <c r="W36" s="65"/>
      <c r="X36" s="65"/>
      <c r="Y36" s="65"/>
      <c r="Z36" s="65"/>
      <c r="AA36" s="68">
        <f t="shared" si="1"/>
        <v>174.60673319497434</v>
      </c>
      <c r="AB36" s="65">
        <f t="shared" si="13"/>
        <v>-7.3000000000000007</v>
      </c>
      <c r="AC36" s="65">
        <f t="shared" si="14"/>
        <v>66.566733194974319</v>
      </c>
      <c r="AD36" s="60">
        <f t="shared" si="15"/>
        <v>4.590809185860298</v>
      </c>
      <c r="AE36" s="68">
        <f t="shared" si="2"/>
        <v>123.62235450557371</v>
      </c>
      <c r="AF36" s="73">
        <f t="shared" si="16"/>
        <v>-7.3000000000000007</v>
      </c>
      <c r="AG36" s="65">
        <f t="shared" si="17"/>
        <v>15.58235450557369</v>
      </c>
      <c r="AH36" s="60">
        <f t="shared" si="18"/>
        <v>1.074645138315427</v>
      </c>
      <c r="AI36" s="62"/>
      <c r="AK36" s="21"/>
      <c r="AL36" s="87"/>
    </row>
    <row r="37" spans="2:38" s="3" customFormat="1" x14ac:dyDescent="0.3">
      <c r="B37" s="19">
        <v>36</v>
      </c>
      <c r="C37" s="1">
        <f t="shared" si="0"/>
        <v>8087.0399999999991</v>
      </c>
      <c r="D37" s="5">
        <v>0.22900000000000001</v>
      </c>
      <c r="E37" s="28">
        <v>0.55800000000000005</v>
      </c>
      <c r="F37" s="1"/>
      <c r="I37" s="90">
        <v>6500</v>
      </c>
      <c r="J37" s="29">
        <f t="shared" si="3"/>
        <v>4.0389227882237444</v>
      </c>
      <c r="K37" s="29">
        <f t="shared" si="4"/>
        <v>89.567151751649746</v>
      </c>
      <c r="L37" s="98">
        <v>423</v>
      </c>
      <c r="M37" s="58">
        <f t="shared" si="19"/>
        <v>-3.9</v>
      </c>
      <c r="N37" s="44">
        <f t="shared" si="20"/>
        <v>-11.200000000000001</v>
      </c>
      <c r="O37" s="44">
        <f t="shared" si="22"/>
        <v>-76.192848248350273</v>
      </c>
      <c r="P37" s="61">
        <f t="shared" si="21"/>
        <v>-5.254679189541398</v>
      </c>
      <c r="Q37" s="68">
        <f t="shared" si="8"/>
        <v>237.6195210458946</v>
      </c>
      <c r="R37" s="65">
        <f t="shared" si="9"/>
        <v>-11.200000000000001</v>
      </c>
      <c r="S37" s="65">
        <f t="shared" si="10"/>
        <v>71.859521045894581</v>
      </c>
      <c r="T37" s="65">
        <f t="shared" si="11"/>
        <v>71.859521045894581</v>
      </c>
      <c r="U37" s="60">
        <f t="shared" si="12"/>
        <v>4.9558290376479022</v>
      </c>
      <c r="V37" s="65"/>
      <c r="W37" s="65"/>
      <c r="X37" s="65"/>
      <c r="Y37" s="65"/>
      <c r="Z37" s="65"/>
      <c r="AA37" s="68">
        <f t="shared" si="1"/>
        <v>189.15729429455556</v>
      </c>
      <c r="AB37" s="65">
        <f t="shared" si="13"/>
        <v>-11.200000000000001</v>
      </c>
      <c r="AC37" s="65">
        <f t="shared" si="14"/>
        <v>23.397294294555536</v>
      </c>
      <c r="AD37" s="60">
        <f t="shared" si="15"/>
        <v>1.6136065030727955</v>
      </c>
      <c r="AE37" s="68">
        <f t="shared" si="2"/>
        <v>133.9242173810382</v>
      </c>
      <c r="AF37" s="73">
        <f t="shared" si="16"/>
        <v>-11.200000000000001</v>
      </c>
      <c r="AG37" s="65">
        <f t="shared" si="17"/>
        <v>-31.835782618961815</v>
      </c>
      <c r="AH37" s="60">
        <f t="shared" si="18"/>
        <v>-2.1955712151008147</v>
      </c>
      <c r="AI37" s="62"/>
      <c r="AK37" s="21"/>
      <c r="AL37" s="87"/>
    </row>
    <row r="38" spans="2:38" s="3" customFormat="1" x14ac:dyDescent="0.3">
      <c r="B38" s="1">
        <v>38</v>
      </c>
      <c r="C38" s="1">
        <f t="shared" si="0"/>
        <v>8536.32</v>
      </c>
      <c r="D38" s="5">
        <v>0.26</v>
      </c>
      <c r="E38" s="10">
        <v>0.63600000000000001</v>
      </c>
      <c r="F38" s="1"/>
      <c r="I38" s="90">
        <v>7000</v>
      </c>
      <c r="J38" s="29">
        <f t="shared" si="3"/>
        <v>4.3496091565486479</v>
      </c>
      <c r="K38" s="29">
        <f t="shared" si="4"/>
        <v>96.456932655622822</v>
      </c>
      <c r="L38" s="97">
        <v>392</v>
      </c>
      <c r="M38" s="58">
        <f t="shared" si="19"/>
        <v>-3.1</v>
      </c>
      <c r="N38" s="44">
        <f t="shared" si="20"/>
        <v>-14.3</v>
      </c>
      <c r="O38" s="44">
        <f t="shared" si="22"/>
        <v>-115.18306734437719</v>
      </c>
      <c r="P38" s="61">
        <f t="shared" si="21"/>
        <v>-7.9436598168535992</v>
      </c>
      <c r="Q38" s="68">
        <f t="shared" si="8"/>
        <v>255.89794574173268</v>
      </c>
      <c r="R38" s="65">
        <f t="shared" si="9"/>
        <v>-14.3</v>
      </c>
      <c r="S38" s="65">
        <f t="shared" si="10"/>
        <v>44.257945741732669</v>
      </c>
      <c r="T38" s="65">
        <f t="shared" si="11"/>
        <v>44.257945741732669</v>
      </c>
      <c r="U38" s="60">
        <f t="shared" si="12"/>
        <v>3.0522721201194942</v>
      </c>
      <c r="V38" s="65"/>
      <c r="W38" s="65"/>
      <c r="X38" s="65"/>
      <c r="Y38" s="65"/>
      <c r="Z38" s="65"/>
      <c r="AA38" s="68">
        <f t="shared" si="1"/>
        <v>203.70785539413677</v>
      </c>
      <c r="AB38" s="65">
        <f t="shared" si="13"/>
        <v>-14.3</v>
      </c>
      <c r="AC38" s="65">
        <f t="shared" si="14"/>
        <v>-7.9321446058632432</v>
      </c>
      <c r="AD38" s="60">
        <f t="shared" si="15"/>
        <v>-0.54704445557677539</v>
      </c>
      <c r="AE38" s="68">
        <f t="shared" si="2"/>
        <v>144.22608025650268</v>
      </c>
      <c r="AF38" s="73">
        <f t="shared" si="16"/>
        <v>-14.3</v>
      </c>
      <c r="AG38" s="65">
        <f t="shared" si="17"/>
        <v>-67.413919743497331</v>
      </c>
      <c r="AH38" s="60">
        <f t="shared" si="18"/>
        <v>-4.6492358443791266</v>
      </c>
      <c r="AI38" s="72"/>
      <c r="AK38" s="21"/>
      <c r="AL38" s="87"/>
    </row>
    <row r="39" spans="2:38" s="3" customFormat="1" x14ac:dyDescent="0.3">
      <c r="B39" s="1">
        <v>40</v>
      </c>
      <c r="C39" s="1">
        <f t="shared" si="0"/>
        <v>8985.6</v>
      </c>
      <c r="D39" s="5">
        <v>0.377</v>
      </c>
      <c r="E39" s="10">
        <v>0.71799999999999997</v>
      </c>
      <c r="F39" s="1"/>
      <c r="I39" s="90">
        <v>7500</v>
      </c>
      <c r="J39" s="29">
        <f t="shared" si="3"/>
        <v>4.6602955248735505</v>
      </c>
      <c r="K39" s="29">
        <f t="shared" si="4"/>
        <v>103.34671355959586</v>
      </c>
      <c r="L39" s="98">
        <v>360</v>
      </c>
      <c r="M39" s="58">
        <f t="shared" si="19"/>
        <v>-3.2</v>
      </c>
      <c r="N39" s="44">
        <f t="shared" si="20"/>
        <v>-17.5</v>
      </c>
      <c r="O39" s="44">
        <f t="shared" si="22"/>
        <v>-155.65328644040414</v>
      </c>
      <c r="P39" s="61">
        <f t="shared" si="21"/>
        <v>-10.734709409683045</v>
      </c>
      <c r="Q39" s="68">
        <f t="shared" si="8"/>
        <v>274.17637043757065</v>
      </c>
      <c r="R39" s="65">
        <f t="shared" si="9"/>
        <v>-17.5</v>
      </c>
      <c r="S39" s="65">
        <f t="shared" si="10"/>
        <v>15.176370437570654</v>
      </c>
      <c r="T39" s="65">
        <f t="shared" si="11"/>
        <v>15.176370437570654</v>
      </c>
      <c r="U39" s="60">
        <f t="shared" si="12"/>
        <v>1.0466462370738383</v>
      </c>
      <c r="V39" s="65"/>
      <c r="W39" s="65"/>
      <c r="X39" s="65"/>
      <c r="Y39" s="65"/>
      <c r="Z39" s="65"/>
      <c r="AA39" s="68">
        <f t="shared" si="1"/>
        <v>218.2584164937179</v>
      </c>
      <c r="AB39" s="65">
        <f t="shared" si="13"/>
        <v>-17.5</v>
      </c>
      <c r="AC39" s="65">
        <f t="shared" si="14"/>
        <v>-40.741583506282097</v>
      </c>
      <c r="AD39" s="60">
        <f t="shared" si="15"/>
        <v>-2.8097643797435929</v>
      </c>
      <c r="AE39" s="68">
        <f t="shared" si="2"/>
        <v>154.52794313196713</v>
      </c>
      <c r="AF39" s="73">
        <f t="shared" si="16"/>
        <v>-17.5</v>
      </c>
      <c r="AG39" s="65">
        <f t="shared" si="17"/>
        <v>-104.47205686803287</v>
      </c>
      <c r="AH39" s="60">
        <f t="shared" si="18"/>
        <v>-7.2049694391746808</v>
      </c>
      <c r="AI39" s="62"/>
      <c r="AK39" s="21"/>
      <c r="AL39" s="87"/>
    </row>
    <row r="40" spans="2:38" s="3" customFormat="1" x14ac:dyDescent="0.3">
      <c r="B40" s="1">
        <v>43</v>
      </c>
      <c r="C40" s="1">
        <f t="shared" si="0"/>
        <v>9659.52</v>
      </c>
      <c r="D40" s="5">
        <v>0.32500000000000001</v>
      </c>
      <c r="E40" s="10">
        <v>0.79700000000000004</v>
      </c>
      <c r="F40" s="1"/>
      <c r="I40" s="90">
        <v>8000</v>
      </c>
      <c r="J40" s="29">
        <f t="shared" si="3"/>
        <v>4.970981893198454</v>
      </c>
      <c r="K40" s="29">
        <f t="shared" si="4"/>
        <v>110.23649446356892</v>
      </c>
      <c r="L40" s="97">
        <v>341</v>
      </c>
      <c r="M40" s="58">
        <f t="shared" si="19"/>
        <v>-1.9</v>
      </c>
      <c r="N40" s="44">
        <f t="shared" si="20"/>
        <v>-19.399999999999999</v>
      </c>
      <c r="O40" s="44">
        <f t="shared" si="22"/>
        <v>-176.88350553643107</v>
      </c>
      <c r="P40" s="61">
        <f t="shared" si="21"/>
        <v>-12.198862450788351</v>
      </c>
      <c r="Q40" s="68">
        <f t="shared" si="8"/>
        <v>292.45479513340871</v>
      </c>
      <c r="R40" s="65">
        <f t="shared" si="9"/>
        <v>-19.399999999999999</v>
      </c>
      <c r="S40" s="65">
        <f t="shared" si="10"/>
        <v>5.3347951334087043</v>
      </c>
      <c r="T40" s="65">
        <f t="shared" si="11"/>
        <v>5.3347951334087043</v>
      </c>
      <c r="U40" s="60">
        <f t="shared" si="12"/>
        <v>0.36791690575232444</v>
      </c>
      <c r="V40" s="65"/>
      <c r="W40" s="65"/>
      <c r="X40" s="65"/>
      <c r="Y40" s="65"/>
      <c r="Z40" s="65"/>
      <c r="AA40" s="68">
        <f t="shared" si="1"/>
        <v>232.80897759329912</v>
      </c>
      <c r="AB40" s="65">
        <f t="shared" si="13"/>
        <v>-19.399999999999999</v>
      </c>
      <c r="AC40" s="65">
        <f t="shared" si="14"/>
        <v>-54.311022406700886</v>
      </c>
      <c r="AD40" s="60">
        <f t="shared" si="15"/>
        <v>-3.7455877521862679</v>
      </c>
      <c r="AE40" s="68">
        <f t="shared" si="2"/>
        <v>164.82980600743161</v>
      </c>
      <c r="AF40" s="73">
        <f t="shared" si="16"/>
        <v>-19.399999999999999</v>
      </c>
      <c r="AG40" s="65">
        <f t="shared" si="17"/>
        <v>-122.29019399256839</v>
      </c>
      <c r="AH40" s="60">
        <f t="shared" si="18"/>
        <v>-8.4338064822460961</v>
      </c>
      <c r="AI40" s="62"/>
      <c r="AK40" s="21"/>
      <c r="AL40" s="87"/>
    </row>
    <row r="41" spans="2:38" s="3" customFormat="1" x14ac:dyDescent="0.3">
      <c r="B41" s="1">
        <v>45</v>
      </c>
      <c r="C41" s="1">
        <f t="shared" si="0"/>
        <v>10108.799999999999</v>
      </c>
      <c r="D41" s="5">
        <v>0.35899999999999999</v>
      </c>
      <c r="E41" s="10">
        <v>0.88700000000000001</v>
      </c>
      <c r="F41" s="1"/>
      <c r="H41" s="17" t="s">
        <v>61</v>
      </c>
      <c r="I41" s="90">
        <v>8500</v>
      </c>
      <c r="J41" s="29">
        <f t="shared" si="3"/>
        <v>5.2816682615233574</v>
      </c>
      <c r="K41" s="29">
        <f t="shared" si="4"/>
        <v>117.12627536754196</v>
      </c>
      <c r="L41" s="98">
        <v>331</v>
      </c>
      <c r="M41" s="58">
        <f t="shared" si="19"/>
        <v>-1</v>
      </c>
      <c r="N41" s="44">
        <f t="shared" si="20"/>
        <v>-20.399999999999999</v>
      </c>
      <c r="O41" s="44">
        <f>+K41+N41*14.8</f>
        <v>-184.79372463245807</v>
      </c>
      <c r="P41" s="61">
        <f t="shared" si="21"/>
        <v>-12.744394802238487</v>
      </c>
      <c r="Q41" s="68">
        <f t="shared" si="8"/>
        <v>310.73321982924676</v>
      </c>
      <c r="R41" s="65">
        <f t="shared" si="9"/>
        <v>-20.399999999999999</v>
      </c>
      <c r="S41" s="65">
        <f t="shared" si="10"/>
        <v>8.8132198292467478</v>
      </c>
      <c r="T41" s="65">
        <f t="shared" si="11"/>
        <v>8.8132198292467478</v>
      </c>
      <c r="U41" s="60">
        <f t="shared" si="12"/>
        <v>0.60780826408598265</v>
      </c>
      <c r="V41" s="65"/>
      <c r="W41" s="65"/>
      <c r="X41" s="65"/>
      <c r="Y41" s="65"/>
      <c r="Z41" s="65"/>
      <c r="AA41" s="68">
        <f t="shared" si="1"/>
        <v>247.35953869288031</v>
      </c>
      <c r="AB41" s="65">
        <f t="shared" si="13"/>
        <v>-20.399999999999999</v>
      </c>
      <c r="AC41" s="65">
        <f t="shared" si="14"/>
        <v>-54.560461307119709</v>
      </c>
      <c r="AD41" s="60">
        <f t="shared" si="15"/>
        <v>-3.7627904349737729</v>
      </c>
      <c r="AE41" s="68">
        <f t="shared" si="2"/>
        <v>175.13166888289609</v>
      </c>
      <c r="AF41" s="73">
        <f t="shared" si="16"/>
        <v>-20.399999999999999</v>
      </c>
      <c r="AG41" s="65">
        <f t="shared" si="17"/>
        <v>-126.78833111710392</v>
      </c>
      <c r="AH41" s="60">
        <f t="shared" si="18"/>
        <v>-8.7440228356623386</v>
      </c>
      <c r="AI41" s="62"/>
      <c r="AK41" s="21">
        <v>8450</v>
      </c>
      <c r="AL41" s="87"/>
    </row>
    <row r="42" spans="2:38" s="3" customFormat="1" x14ac:dyDescent="0.3">
      <c r="B42" s="19">
        <v>48</v>
      </c>
      <c r="C42" s="1">
        <f t="shared" si="0"/>
        <v>10782.72</v>
      </c>
      <c r="D42" s="5">
        <v>0.39800000000000002</v>
      </c>
      <c r="E42" s="28">
        <v>0.97799999999999998</v>
      </c>
      <c r="F42" s="1"/>
      <c r="I42" s="90">
        <v>9000</v>
      </c>
      <c r="J42" s="29">
        <f t="shared" si="3"/>
        <v>5.5923546298482609</v>
      </c>
      <c r="K42" s="29">
        <f t="shared" si="4"/>
        <v>124.01605627151503</v>
      </c>
      <c r="L42" s="97">
        <v>326</v>
      </c>
      <c r="M42" s="58">
        <f t="shared" si="19"/>
        <v>-0.5</v>
      </c>
      <c r="N42" s="44">
        <f t="shared" si="20"/>
        <v>-20.9</v>
      </c>
      <c r="O42" s="44">
        <f t="shared" si="22"/>
        <v>-185.30394372848497</v>
      </c>
      <c r="P42" s="61">
        <f t="shared" si="21"/>
        <v>-12.779582326102412</v>
      </c>
      <c r="Q42" s="68">
        <f t="shared" si="8"/>
        <v>329.01164452508482</v>
      </c>
      <c r="R42" s="65">
        <f t="shared" si="9"/>
        <v>-20.9</v>
      </c>
      <c r="S42" s="65">
        <f t="shared" si="10"/>
        <v>19.691644525084826</v>
      </c>
      <c r="T42" s="65">
        <f t="shared" si="11"/>
        <v>19.691644525084826</v>
      </c>
      <c r="U42" s="60">
        <f t="shared" si="12"/>
        <v>1.3580444500058499</v>
      </c>
      <c r="V42" s="65"/>
      <c r="W42" s="65"/>
      <c r="X42" s="65"/>
      <c r="Y42" s="65"/>
      <c r="Z42" s="65"/>
      <c r="AA42" s="68">
        <f t="shared" si="1"/>
        <v>261.91009979246149</v>
      </c>
      <c r="AB42" s="65">
        <f t="shared" si="13"/>
        <v>-20.9</v>
      </c>
      <c r="AC42" s="65">
        <f t="shared" si="14"/>
        <v>-47.409900207538499</v>
      </c>
      <c r="AD42" s="60">
        <f t="shared" si="15"/>
        <v>-3.269648290175069</v>
      </c>
      <c r="AE42" s="68">
        <f t="shared" si="2"/>
        <v>185.43353175836057</v>
      </c>
      <c r="AF42" s="73">
        <f t="shared" si="16"/>
        <v>-20.9</v>
      </c>
      <c r="AG42" s="65">
        <f t="shared" si="17"/>
        <v>-123.88646824163942</v>
      </c>
      <c r="AH42" s="60">
        <f t="shared" si="18"/>
        <v>-8.5438943614923737</v>
      </c>
      <c r="AI42" s="72"/>
      <c r="AK42" s="21"/>
      <c r="AL42" s="87"/>
    </row>
    <row r="43" spans="2:38" s="3" customFormat="1" x14ac:dyDescent="0.3">
      <c r="B43" s="19">
        <f>(B44+B42)/2</f>
        <v>54</v>
      </c>
      <c r="C43" s="1">
        <f t="shared" si="0"/>
        <v>12130.559999999998</v>
      </c>
      <c r="D43" s="5">
        <v>0.42</v>
      </c>
      <c r="E43" s="28">
        <f>(E44+E42)/2</f>
        <v>1.2690000000000001</v>
      </c>
      <c r="F43" s="1"/>
      <c r="I43" s="90">
        <v>9500</v>
      </c>
      <c r="J43" s="29">
        <f t="shared" ref="J43" si="23">+I43/1609.34</f>
        <v>5.9030409981731644</v>
      </c>
      <c r="K43" s="29">
        <f t="shared" si="4"/>
        <v>130.9058371754881</v>
      </c>
      <c r="L43" s="98">
        <v>315</v>
      </c>
      <c r="M43" s="58">
        <f t="shared" si="19"/>
        <v>-1.1000000000000001</v>
      </c>
      <c r="N43" s="44">
        <f t="shared" si="20"/>
        <v>-22</v>
      </c>
      <c r="O43" s="44">
        <f t="shared" ref="O43" si="24">+K43+N43*14.8</f>
        <v>-194.69416282451192</v>
      </c>
      <c r="P43" s="61">
        <f t="shared" ref="P43" si="25">+O43/14.5</f>
        <v>-13.427183643069787</v>
      </c>
      <c r="Q43" s="68"/>
      <c r="R43" s="65"/>
      <c r="S43" s="65"/>
      <c r="T43" s="65"/>
      <c r="U43" s="60"/>
      <c r="V43" s="65"/>
      <c r="W43" s="65"/>
      <c r="X43" s="65"/>
      <c r="Y43" s="65"/>
      <c r="Z43" s="65"/>
      <c r="AA43" s="68"/>
      <c r="AB43" s="65"/>
      <c r="AC43" s="65"/>
      <c r="AD43" s="60"/>
      <c r="AE43" s="68"/>
      <c r="AF43" s="73"/>
      <c r="AG43" s="65"/>
      <c r="AH43" s="60"/>
      <c r="AI43" s="72"/>
      <c r="AK43" s="21"/>
      <c r="AL43" s="87"/>
    </row>
    <row r="44" spans="2:38" s="3" customFormat="1" x14ac:dyDescent="0.3">
      <c r="B44" s="1">
        <v>60</v>
      </c>
      <c r="C44" s="1">
        <f t="shared" si="0"/>
        <v>13478.399999999998</v>
      </c>
      <c r="D44" s="5">
        <v>0.628</v>
      </c>
      <c r="E44" s="10">
        <v>1.56</v>
      </c>
      <c r="F44" s="1"/>
      <c r="I44" s="90">
        <v>10000</v>
      </c>
      <c r="J44" s="29">
        <f t="shared" ref="J44:J48" si="26">+I44/1609.34</f>
        <v>6.2137273664980679</v>
      </c>
      <c r="K44" s="29">
        <f t="shared" si="4"/>
        <v>137.79561807946115</v>
      </c>
      <c r="L44" s="97">
        <v>313</v>
      </c>
      <c r="M44" s="58">
        <f t="shared" ref="M44:M47" si="27">-(L43-L44)/10</f>
        <v>-0.2</v>
      </c>
      <c r="N44" s="44">
        <f t="shared" ref="N44:N47" si="28">+N43+M44</f>
        <v>-22.2</v>
      </c>
      <c r="O44" s="44">
        <f t="shared" ref="O44:O47" si="29">+K44+N44*14.8</f>
        <v>-190.76438192053885</v>
      </c>
      <c r="P44" s="61">
        <f t="shared" ref="P44:P47" si="30">+O44/14.5</f>
        <v>-13.156164270381989</v>
      </c>
      <c r="Q44" s="68">
        <f t="shared" ref="Q44:Q90" si="31">+($I44/1609.34)*5280/(100)*$D$47</f>
        <v>365.56849391676087</v>
      </c>
      <c r="R44" s="65">
        <f t="shared" si="9"/>
        <v>-22.2</v>
      </c>
      <c r="S44" s="65">
        <f t="shared" si="10"/>
        <v>37.00849391676087</v>
      </c>
      <c r="T44" s="65">
        <f t="shared" si="11"/>
        <v>37.00849391676087</v>
      </c>
      <c r="U44" s="60">
        <f t="shared" si="12"/>
        <v>2.5523099252938533</v>
      </c>
      <c r="V44" s="65"/>
      <c r="W44" s="65"/>
      <c r="X44" s="65"/>
      <c r="Y44" s="65"/>
      <c r="Z44" s="65"/>
      <c r="AA44" s="68">
        <f t="shared" ref="AA44:AA89" si="32">+($I44/1609.34)*5280/(100)*$D$45</f>
        <v>291.01122199162387</v>
      </c>
      <c r="AB44" s="65">
        <f t="shared" si="13"/>
        <v>-22.2</v>
      </c>
      <c r="AC44" s="65">
        <f t="shared" si="14"/>
        <v>-37.548778008376132</v>
      </c>
      <c r="AD44" s="60">
        <f t="shared" si="15"/>
        <v>-2.5895708971293883</v>
      </c>
      <c r="AE44" s="68">
        <f t="shared" ref="AE44:AE89" si="33">+($I44/1609.34)*5280/(100)*$D$44</f>
        <v>206.03725750928953</v>
      </c>
      <c r="AF44" s="73">
        <f t="shared" si="16"/>
        <v>-22.2</v>
      </c>
      <c r="AG44" s="65">
        <f t="shared" si="17"/>
        <v>-122.52274249071047</v>
      </c>
      <c r="AH44" s="60">
        <f t="shared" si="18"/>
        <v>-8.4498443097041704</v>
      </c>
      <c r="AI44" s="62"/>
      <c r="AK44" s="21"/>
      <c r="AL44" s="87"/>
    </row>
    <row r="45" spans="2:38" s="3" customFormat="1" x14ac:dyDescent="0.3">
      <c r="B45" s="20">
        <v>71</v>
      </c>
      <c r="C45" s="18">
        <f t="shared" si="0"/>
        <v>15949.440000000002</v>
      </c>
      <c r="D45" s="5">
        <v>0.88700000000000001</v>
      </c>
      <c r="E45" s="30">
        <v>2.2000000000000002</v>
      </c>
      <c r="F45" s="1"/>
      <c r="G45" s="21">
        <f>+(B45+B46)/2</f>
        <v>74</v>
      </c>
      <c r="H45" s="21">
        <f>+(D45+D46)/2</f>
        <v>0.96274999999999999</v>
      </c>
      <c r="I45" s="90">
        <v>10500</v>
      </c>
      <c r="J45" s="29">
        <f t="shared" si="26"/>
        <v>6.5244137348229714</v>
      </c>
      <c r="K45" s="29">
        <f t="shared" si="4"/>
        <v>144.6853989834342</v>
      </c>
      <c r="L45" s="98">
        <v>310</v>
      </c>
      <c r="M45" s="58">
        <f t="shared" si="27"/>
        <v>-0.3</v>
      </c>
      <c r="N45" s="44">
        <f t="shared" si="28"/>
        <v>-22.5</v>
      </c>
      <c r="O45" s="44">
        <f t="shared" si="29"/>
        <v>-188.3146010165658</v>
      </c>
      <c r="P45" s="61">
        <f t="shared" si="30"/>
        <v>-12.987213863211435</v>
      </c>
      <c r="Q45" s="68">
        <f t="shared" si="31"/>
        <v>383.84691861259898</v>
      </c>
      <c r="R45" s="65">
        <f t="shared" si="9"/>
        <v>-22.5</v>
      </c>
      <c r="S45" s="65">
        <f t="shared" si="10"/>
        <v>50.846918612598984</v>
      </c>
      <c r="T45" s="65">
        <f t="shared" si="11"/>
        <v>50.846918612598984</v>
      </c>
      <c r="U45" s="60">
        <f t="shared" si="12"/>
        <v>3.5066840422482057</v>
      </c>
      <c r="V45" s="65"/>
      <c r="W45" s="65"/>
      <c r="X45" s="65"/>
      <c r="Y45" s="65"/>
      <c r="Z45" s="65"/>
      <c r="AA45" s="68">
        <f t="shared" si="32"/>
        <v>305.56178309120514</v>
      </c>
      <c r="AB45" s="65">
        <f t="shared" si="13"/>
        <v>-22.5</v>
      </c>
      <c r="AC45" s="65">
        <f t="shared" si="14"/>
        <v>-27.438216908794857</v>
      </c>
      <c r="AD45" s="60">
        <f t="shared" si="15"/>
        <v>-1.8922908212961971</v>
      </c>
      <c r="AE45" s="68">
        <f t="shared" si="33"/>
        <v>216.33912038475401</v>
      </c>
      <c r="AF45" s="73">
        <f t="shared" si="16"/>
        <v>-22.5</v>
      </c>
      <c r="AG45" s="65">
        <f t="shared" si="17"/>
        <v>-116.66087961524599</v>
      </c>
      <c r="AH45" s="60">
        <f t="shared" si="18"/>
        <v>-8.0455779044997229</v>
      </c>
      <c r="AI45" s="62"/>
      <c r="AK45" s="21"/>
      <c r="AL45" s="87"/>
    </row>
    <row r="46" spans="2:38" s="3" customFormat="1" x14ac:dyDescent="0.3">
      <c r="B46" s="42">
        <f>+(B45+B48)/2</f>
        <v>77</v>
      </c>
      <c r="C46" s="1">
        <f>+(C45+C48)/2</f>
        <v>17297.28</v>
      </c>
      <c r="D46" s="1">
        <f>+(D45+D48)/2</f>
        <v>1.0385</v>
      </c>
      <c r="E46" s="1">
        <f>+(E45+E48)/2</f>
        <v>2.585</v>
      </c>
      <c r="F46" s="1"/>
      <c r="I46" s="90">
        <v>11000</v>
      </c>
      <c r="J46" s="29">
        <f t="shared" si="26"/>
        <v>6.8351001031478749</v>
      </c>
      <c r="K46" s="29">
        <f t="shared" si="4"/>
        <v>151.57517988740727</v>
      </c>
      <c r="L46" s="97">
        <v>303</v>
      </c>
      <c r="M46" s="58">
        <f t="shared" si="27"/>
        <v>-0.7</v>
      </c>
      <c r="N46" s="44">
        <f t="shared" si="28"/>
        <v>-23.2</v>
      </c>
      <c r="O46" s="44">
        <f t="shared" si="29"/>
        <v>-191.78482011259274</v>
      </c>
      <c r="P46" s="61">
        <f t="shared" si="30"/>
        <v>-13.226539318109845</v>
      </c>
      <c r="Q46" s="68">
        <f t="shared" si="31"/>
        <v>402.12534330843704</v>
      </c>
      <c r="R46" s="65">
        <f t="shared" si="9"/>
        <v>-23.2</v>
      </c>
      <c r="S46" s="65">
        <f t="shared" si="10"/>
        <v>58.765343308437025</v>
      </c>
      <c r="T46" s="65">
        <f t="shared" si="11"/>
        <v>58.765343308437025</v>
      </c>
      <c r="U46" s="60">
        <f t="shared" si="12"/>
        <v>4.0527822971335876</v>
      </c>
      <c r="V46" s="65"/>
      <c r="W46" s="65"/>
      <c r="X46" s="65"/>
      <c r="Y46" s="65"/>
      <c r="Z46" s="65"/>
      <c r="AA46" s="68">
        <f t="shared" si="32"/>
        <v>320.11234419078636</v>
      </c>
      <c r="AB46" s="65">
        <f t="shared" si="13"/>
        <v>-23.2</v>
      </c>
      <c r="AC46" s="65">
        <f t="shared" si="14"/>
        <v>-23.247655809213654</v>
      </c>
      <c r="AD46" s="60">
        <f t="shared" si="15"/>
        <v>-1.603286607531976</v>
      </c>
      <c r="AE46" s="68">
        <f t="shared" si="33"/>
        <v>226.64098326021852</v>
      </c>
      <c r="AF46" s="73">
        <f t="shared" si="16"/>
        <v>-23.2</v>
      </c>
      <c r="AG46" s="65">
        <f t="shared" si="17"/>
        <v>-116.71901673978149</v>
      </c>
      <c r="AH46" s="60">
        <f t="shared" si="18"/>
        <v>-8.0495873613642406</v>
      </c>
      <c r="AI46" s="62"/>
      <c r="AK46" s="21"/>
      <c r="AL46" s="87"/>
    </row>
    <row r="47" spans="2:38" s="3" customFormat="1" x14ac:dyDescent="0.3">
      <c r="B47" s="7">
        <f>+(B46+B48)/2</f>
        <v>80</v>
      </c>
      <c r="C47" s="1">
        <f t="shared" ref="C47:E47" si="34">+(C46+C48)/2</f>
        <v>17971.199999999997</v>
      </c>
      <c r="D47" s="1">
        <f t="shared" si="34"/>
        <v>1.11425</v>
      </c>
      <c r="E47" s="1">
        <f t="shared" si="34"/>
        <v>2.7774999999999999</v>
      </c>
      <c r="F47" s="1"/>
      <c r="I47" s="90">
        <v>11500</v>
      </c>
      <c r="J47" s="29">
        <f t="shared" si="26"/>
        <v>7.1457864714727783</v>
      </c>
      <c r="K47" s="29">
        <f t="shared" si="4"/>
        <v>158.46496079138035</v>
      </c>
      <c r="L47" s="98">
        <v>300</v>
      </c>
      <c r="M47" s="58">
        <f t="shared" si="27"/>
        <v>-0.3</v>
      </c>
      <c r="N47" s="44">
        <f t="shared" si="28"/>
        <v>-23.5</v>
      </c>
      <c r="O47" s="44">
        <f t="shared" si="29"/>
        <v>-189.33503920861966</v>
      </c>
      <c r="P47" s="61">
        <f t="shared" si="30"/>
        <v>-13.057588910939288</v>
      </c>
      <c r="Q47" s="68">
        <f t="shared" si="31"/>
        <v>420.40376800427509</v>
      </c>
      <c r="R47" s="65">
        <f t="shared" si="9"/>
        <v>-23.5</v>
      </c>
      <c r="S47" s="65">
        <f t="shared" si="10"/>
        <v>72.603768004275082</v>
      </c>
      <c r="T47" s="65">
        <f t="shared" si="11"/>
        <v>72.603768004275082</v>
      </c>
      <c r="U47" s="60">
        <f t="shared" si="12"/>
        <v>5.0071564140879365</v>
      </c>
      <c r="V47" s="65"/>
      <c r="W47" s="65"/>
      <c r="X47" s="65"/>
      <c r="Y47" s="65"/>
      <c r="Z47" s="65"/>
      <c r="AA47" s="68">
        <f t="shared" si="32"/>
        <v>334.66290529036758</v>
      </c>
      <c r="AB47" s="65">
        <f t="shared" si="13"/>
        <v>-23.5</v>
      </c>
      <c r="AC47" s="65">
        <f t="shared" si="14"/>
        <v>-13.137094709632436</v>
      </c>
      <c r="AD47" s="60">
        <f t="shared" si="15"/>
        <v>-0.90600653169878864</v>
      </c>
      <c r="AE47" s="68">
        <f t="shared" si="33"/>
        <v>236.942846135683</v>
      </c>
      <c r="AF47" s="73">
        <f t="shared" si="16"/>
        <v>-23.5</v>
      </c>
      <c r="AG47" s="65">
        <f t="shared" si="17"/>
        <v>-110.85715386431701</v>
      </c>
      <c r="AH47" s="60">
        <f t="shared" si="18"/>
        <v>-7.6453209561597939</v>
      </c>
      <c r="AI47" s="62"/>
      <c r="AK47" s="21"/>
      <c r="AL47" s="87"/>
    </row>
    <row r="48" spans="2:38" s="3" customFormat="1" x14ac:dyDescent="0.3">
      <c r="B48" s="42">
        <v>83</v>
      </c>
      <c r="C48" s="1">
        <f>+B48*0.156*60*24</f>
        <v>18645.12</v>
      </c>
      <c r="D48" s="5">
        <v>1.19</v>
      </c>
      <c r="E48" s="10">
        <v>2.97</v>
      </c>
      <c r="F48" s="1"/>
      <c r="I48" s="90">
        <v>12000</v>
      </c>
      <c r="J48" s="29">
        <f t="shared" si="26"/>
        <v>7.4564728397976818</v>
      </c>
      <c r="K48" s="29">
        <f t="shared" si="4"/>
        <v>165.35474169535337</v>
      </c>
      <c r="L48" s="97">
        <v>297</v>
      </c>
      <c r="M48" s="58">
        <f t="shared" ref="M48:M111" si="35">-(L47-L48)/10</f>
        <v>-0.3</v>
      </c>
      <c r="N48" s="44">
        <f t="shared" ref="N48:N111" si="36">+N47+M48</f>
        <v>-23.8</v>
      </c>
      <c r="O48" s="44">
        <f t="shared" ref="O48:O111" si="37">+K48+N48*14.8</f>
        <v>-186.88525830464664</v>
      </c>
      <c r="P48" s="61">
        <f t="shared" ref="P48:P111" si="38">+O48/14.5</f>
        <v>-12.888638503768734</v>
      </c>
      <c r="Q48" s="68">
        <f t="shared" si="31"/>
        <v>438.68219270011303</v>
      </c>
      <c r="R48" s="65">
        <f t="shared" si="9"/>
        <v>-23.8</v>
      </c>
      <c r="S48" s="65">
        <f t="shared" si="10"/>
        <v>86.442192700113026</v>
      </c>
      <c r="T48" s="65">
        <f t="shared" si="11"/>
        <v>86.442192700113026</v>
      </c>
      <c r="U48" s="60">
        <f t="shared" si="12"/>
        <v>5.9615305310422775</v>
      </c>
      <c r="V48" s="65"/>
      <c r="W48" s="65"/>
      <c r="X48" s="65"/>
      <c r="Y48" s="65"/>
      <c r="Z48" s="65"/>
      <c r="AA48" s="68">
        <f t="shared" si="32"/>
        <v>349.21346638994868</v>
      </c>
      <c r="AB48" s="65">
        <f t="shared" si="13"/>
        <v>-23.8</v>
      </c>
      <c r="AC48" s="65">
        <f t="shared" si="14"/>
        <v>-3.0265336100513309</v>
      </c>
      <c r="AD48" s="60">
        <f t="shared" si="15"/>
        <v>-0.20872645586560903</v>
      </c>
      <c r="AE48" s="68">
        <f t="shared" si="33"/>
        <v>247.24470901114742</v>
      </c>
      <c r="AF48" s="73">
        <f t="shared" si="16"/>
        <v>-23.8</v>
      </c>
      <c r="AG48" s="65">
        <f t="shared" si="17"/>
        <v>-104.99529098885259</v>
      </c>
      <c r="AH48" s="60">
        <f t="shared" si="18"/>
        <v>-7.2410545509553508</v>
      </c>
      <c r="AI48" s="62"/>
      <c r="AK48" s="21"/>
      <c r="AL48" s="87"/>
    </row>
    <row r="49" spans="2:38" s="3" customFormat="1" x14ac:dyDescent="0.3">
      <c r="B49" s="42">
        <f>+(B48+B50)/2</f>
        <v>89</v>
      </c>
      <c r="C49" s="1">
        <f t="shared" ref="C49:E49" si="39">+(C48+C50)/2</f>
        <v>19992.96</v>
      </c>
      <c r="D49" s="1">
        <f t="shared" si="39"/>
        <v>1.365</v>
      </c>
      <c r="E49" s="1">
        <f t="shared" si="39"/>
        <v>3.395</v>
      </c>
      <c r="F49" s="1"/>
      <c r="I49" s="90">
        <v>12500</v>
      </c>
      <c r="J49" s="29">
        <f t="shared" ref="J49:J112" si="40">+I49/1609.34</f>
        <v>7.7671592081225844</v>
      </c>
      <c r="K49" s="29">
        <f t="shared" si="4"/>
        <v>172.24452259932644</v>
      </c>
      <c r="L49" s="98">
        <v>295</v>
      </c>
      <c r="M49" s="58">
        <f t="shared" si="35"/>
        <v>-0.2</v>
      </c>
      <c r="N49" s="44">
        <f t="shared" si="36"/>
        <v>-24</v>
      </c>
      <c r="O49" s="44">
        <f t="shared" si="37"/>
        <v>-182.9554774006736</v>
      </c>
      <c r="P49" s="61">
        <f t="shared" si="38"/>
        <v>-12.617619131080938</v>
      </c>
      <c r="Q49" s="81">
        <f t="shared" si="31"/>
        <v>456.96061739595115</v>
      </c>
      <c r="R49" s="44">
        <f t="shared" si="9"/>
        <v>-24</v>
      </c>
      <c r="S49" s="65">
        <f t="shared" si="10"/>
        <v>101.7606173959511</v>
      </c>
      <c r="T49" s="44">
        <f t="shared" si="11"/>
        <v>101.7606173959511</v>
      </c>
      <c r="U49" s="64">
        <f t="shared" si="12"/>
        <v>7.0179736135138686</v>
      </c>
      <c r="V49" s="65"/>
      <c r="W49" s="65"/>
      <c r="X49" s="65"/>
      <c r="Y49" s="65"/>
      <c r="Z49" s="44"/>
      <c r="AA49" s="81">
        <f t="shared" si="32"/>
        <v>363.76402748952989</v>
      </c>
      <c r="AB49" s="44">
        <f t="shared" si="13"/>
        <v>-24</v>
      </c>
      <c r="AC49" s="44">
        <f t="shared" si="14"/>
        <v>8.5640274895298489</v>
      </c>
      <c r="AD49" s="64">
        <f t="shared" si="15"/>
        <v>0.59062258548481716</v>
      </c>
      <c r="AE49" s="81">
        <f t="shared" si="33"/>
        <v>257.5465718866119</v>
      </c>
      <c r="AF49" s="82">
        <f t="shared" si="16"/>
        <v>-24</v>
      </c>
      <c r="AG49" s="44">
        <f t="shared" si="17"/>
        <v>-97.653428113388145</v>
      </c>
      <c r="AH49" s="64">
        <f t="shared" si="18"/>
        <v>-6.7347191802336654</v>
      </c>
      <c r="AI49" s="62"/>
      <c r="AK49" s="21"/>
      <c r="AL49" s="87"/>
    </row>
    <row r="50" spans="2:38" s="3" customFormat="1" x14ac:dyDescent="0.3">
      <c r="B50" s="42">
        <v>95</v>
      </c>
      <c r="C50" s="1">
        <f>+B50*0.156*60*24</f>
        <v>21340.800000000003</v>
      </c>
      <c r="D50" s="5">
        <v>1.54</v>
      </c>
      <c r="E50" s="10">
        <v>3.82</v>
      </c>
      <c r="F50" s="1"/>
      <c r="I50" s="90">
        <v>13000</v>
      </c>
      <c r="J50" s="29">
        <f t="shared" si="40"/>
        <v>8.0778455764474888</v>
      </c>
      <c r="K50" s="29">
        <f t="shared" si="4"/>
        <v>179.13430350329949</v>
      </c>
      <c r="L50" s="97">
        <v>291</v>
      </c>
      <c r="M50" s="58">
        <f t="shared" si="35"/>
        <v>-0.4</v>
      </c>
      <c r="N50" s="44">
        <f t="shared" si="36"/>
        <v>-24.4</v>
      </c>
      <c r="O50" s="44">
        <f t="shared" si="37"/>
        <v>-181.98569649670051</v>
      </c>
      <c r="P50" s="61">
        <f t="shared" si="38"/>
        <v>-12.550737689427622</v>
      </c>
      <c r="Q50" s="81">
        <f t="shared" si="31"/>
        <v>475.2390420917892</v>
      </c>
      <c r="R50" s="44">
        <f t="shared" si="9"/>
        <v>-24.4</v>
      </c>
      <c r="S50" s="65">
        <f t="shared" si="10"/>
        <v>114.1190420917892</v>
      </c>
      <c r="T50" s="44">
        <f t="shared" si="11"/>
        <v>114.1190420917892</v>
      </c>
      <c r="U50" s="64">
        <f t="shared" si="12"/>
        <v>7.8702787649509789</v>
      </c>
      <c r="V50" s="65"/>
      <c r="W50" s="65"/>
      <c r="X50" s="65"/>
      <c r="Y50" s="65"/>
      <c r="Z50" s="44"/>
      <c r="AA50" s="81">
        <f t="shared" si="32"/>
        <v>378.31458858911111</v>
      </c>
      <c r="AB50" s="44">
        <f t="shared" si="13"/>
        <v>-24.4</v>
      </c>
      <c r="AC50" s="44">
        <f t="shared" si="14"/>
        <v>17.194588589111106</v>
      </c>
      <c r="AD50" s="64">
        <f t="shared" si="15"/>
        <v>1.185833695800766</v>
      </c>
      <c r="AE50" s="81">
        <f t="shared" si="33"/>
        <v>267.84843476207641</v>
      </c>
      <c r="AF50" s="82">
        <f t="shared" si="16"/>
        <v>-24.4</v>
      </c>
      <c r="AG50" s="44">
        <f t="shared" si="17"/>
        <v>-93.271565237923596</v>
      </c>
      <c r="AH50" s="64">
        <f t="shared" si="18"/>
        <v>-6.4325217405464548</v>
      </c>
      <c r="AI50" s="62"/>
      <c r="AK50" s="21"/>
      <c r="AL50" s="87"/>
    </row>
    <row r="51" spans="2:38" s="3" customFormat="1" x14ac:dyDescent="0.3">
      <c r="B51" s="1"/>
      <c r="C51" s="1"/>
      <c r="D51" s="1"/>
      <c r="F51" s="1"/>
      <c r="I51" s="90">
        <v>13500</v>
      </c>
      <c r="J51" s="29">
        <f t="shared" si="40"/>
        <v>8.3885319447723923</v>
      </c>
      <c r="K51" s="29">
        <f t="shared" si="4"/>
        <v>186.02408440727257</v>
      </c>
      <c r="L51" s="98">
        <v>289</v>
      </c>
      <c r="M51" s="58">
        <f t="shared" si="35"/>
        <v>-0.2</v>
      </c>
      <c r="N51" s="44">
        <f t="shared" si="36"/>
        <v>-24.599999999999998</v>
      </c>
      <c r="O51" s="44">
        <f t="shared" si="37"/>
        <v>-178.05591559272742</v>
      </c>
      <c r="P51" s="61">
        <f t="shared" si="38"/>
        <v>-12.279718316739821</v>
      </c>
      <c r="Q51" s="81">
        <f t="shared" si="31"/>
        <v>493.51746678762726</v>
      </c>
      <c r="R51" s="44">
        <f t="shared" si="9"/>
        <v>-24.599999999999998</v>
      </c>
      <c r="S51" s="65">
        <f t="shared" si="10"/>
        <v>129.43746678762727</v>
      </c>
      <c r="T51" s="44">
        <f t="shared" si="11"/>
        <v>129.43746678762727</v>
      </c>
      <c r="U51" s="64">
        <f t="shared" si="12"/>
        <v>8.92672184742257</v>
      </c>
      <c r="V51" s="65"/>
      <c r="W51" s="65"/>
      <c r="X51" s="65"/>
      <c r="Y51" s="65"/>
      <c r="Z51" s="44"/>
      <c r="AA51" s="81">
        <f t="shared" si="32"/>
        <v>392.86514968869233</v>
      </c>
      <c r="AB51" s="44">
        <f t="shared" si="13"/>
        <v>-24.599999999999998</v>
      </c>
      <c r="AC51" s="44">
        <f t="shared" si="14"/>
        <v>28.785149688692343</v>
      </c>
      <c r="AD51" s="64">
        <f t="shared" si="15"/>
        <v>1.9851827371511961</v>
      </c>
      <c r="AE51" s="81">
        <f t="shared" si="33"/>
        <v>278.15029763754092</v>
      </c>
      <c r="AF51" s="82">
        <f t="shared" si="16"/>
        <v>-24.599999999999998</v>
      </c>
      <c r="AG51" s="44">
        <f t="shared" si="17"/>
        <v>-85.929702362459068</v>
      </c>
      <c r="AH51" s="64">
        <f t="shared" si="18"/>
        <v>-5.9261863698247632</v>
      </c>
      <c r="AI51" s="62"/>
      <c r="AK51" s="21"/>
      <c r="AL51" s="87"/>
    </row>
    <row r="52" spans="2:38" s="3" customFormat="1" x14ac:dyDescent="0.3">
      <c r="B52" s="1"/>
      <c r="C52" s="1"/>
      <c r="D52" s="1"/>
      <c r="F52" s="1"/>
      <c r="I52" s="90">
        <v>14000</v>
      </c>
      <c r="J52" s="29">
        <f t="shared" si="40"/>
        <v>8.6992183130972958</v>
      </c>
      <c r="K52" s="29">
        <f t="shared" si="4"/>
        <v>192.91386531124564</v>
      </c>
      <c r="L52" s="97">
        <v>289</v>
      </c>
      <c r="M52" s="58">
        <f t="shared" si="35"/>
        <v>0</v>
      </c>
      <c r="N52" s="44">
        <f t="shared" si="36"/>
        <v>-24.599999999999998</v>
      </c>
      <c r="O52" s="44">
        <f t="shared" si="37"/>
        <v>-171.16613468875434</v>
      </c>
      <c r="P52" s="61">
        <f t="shared" si="38"/>
        <v>-11.80456101301754</v>
      </c>
      <c r="Q52" s="81">
        <f t="shared" si="31"/>
        <v>511.79589148346537</v>
      </c>
      <c r="R52" s="44">
        <f t="shared" si="9"/>
        <v>-24.599999999999998</v>
      </c>
      <c r="S52" s="65">
        <f t="shared" si="10"/>
        <v>147.71589148346538</v>
      </c>
      <c r="T52" s="44">
        <f t="shared" si="11"/>
        <v>147.71589148346538</v>
      </c>
      <c r="U52" s="64">
        <f t="shared" si="12"/>
        <v>10.187302860928646</v>
      </c>
      <c r="V52" s="65"/>
      <c r="W52" s="65"/>
      <c r="X52" s="65"/>
      <c r="Y52" s="65"/>
      <c r="Z52" s="44"/>
      <c r="AA52" s="81">
        <f t="shared" si="32"/>
        <v>407.41571078827354</v>
      </c>
      <c r="AB52" s="44">
        <f t="shared" si="13"/>
        <v>-24.599999999999998</v>
      </c>
      <c r="AC52" s="44">
        <f t="shared" si="14"/>
        <v>43.335710788273559</v>
      </c>
      <c r="AD52" s="64">
        <f t="shared" si="15"/>
        <v>2.9886697095361074</v>
      </c>
      <c r="AE52" s="81">
        <f t="shared" si="33"/>
        <v>288.45216051300537</v>
      </c>
      <c r="AF52" s="82">
        <f t="shared" si="16"/>
        <v>-24.599999999999998</v>
      </c>
      <c r="AG52" s="44">
        <f t="shared" si="17"/>
        <v>-75.627839486994617</v>
      </c>
      <c r="AH52" s="64">
        <f t="shared" si="18"/>
        <v>-5.2157130680685944</v>
      </c>
      <c r="AI52" s="62"/>
      <c r="AK52" s="21"/>
      <c r="AL52" s="87"/>
    </row>
    <row r="53" spans="2:38" s="3" customFormat="1" x14ac:dyDescent="0.3">
      <c r="B53" s="1"/>
      <c r="C53" s="1"/>
      <c r="D53" s="1"/>
      <c r="F53" s="1"/>
      <c r="I53" s="90">
        <v>14500</v>
      </c>
      <c r="J53" s="29">
        <f t="shared" si="40"/>
        <v>9.0099046814221992</v>
      </c>
      <c r="K53" s="29">
        <f t="shared" si="4"/>
        <v>199.80364621521869</v>
      </c>
      <c r="L53" s="98">
        <v>290</v>
      </c>
      <c r="M53" s="58">
        <f t="shared" si="35"/>
        <v>0.1</v>
      </c>
      <c r="N53" s="44">
        <f t="shared" si="36"/>
        <v>-24.499999999999996</v>
      </c>
      <c r="O53" s="44">
        <f t="shared" si="37"/>
        <v>-162.79635378478127</v>
      </c>
      <c r="P53" s="61">
        <f t="shared" si="38"/>
        <v>-11.22733474377802</v>
      </c>
      <c r="Q53" s="81">
        <f t="shared" si="31"/>
        <v>530.07431617930331</v>
      </c>
      <c r="R53" s="44">
        <f t="shared" si="9"/>
        <v>-24.499999999999996</v>
      </c>
      <c r="S53" s="65">
        <f t="shared" si="10"/>
        <v>167.47431617930334</v>
      </c>
      <c r="T53" s="44">
        <f t="shared" si="11"/>
        <v>167.47431617930334</v>
      </c>
      <c r="U53" s="64">
        <f t="shared" si="12"/>
        <v>11.549952839951954</v>
      </c>
      <c r="V53" s="65"/>
      <c r="W53" s="65"/>
      <c r="X53" s="65"/>
      <c r="Y53" s="65"/>
      <c r="Z53" s="44"/>
      <c r="AA53" s="81">
        <f t="shared" si="32"/>
        <v>421.9662718878547</v>
      </c>
      <c r="AB53" s="44">
        <f t="shared" si="13"/>
        <v>-24.499999999999996</v>
      </c>
      <c r="AC53" s="44">
        <f t="shared" si="14"/>
        <v>59.366271887854737</v>
      </c>
      <c r="AD53" s="64">
        <f t="shared" si="15"/>
        <v>4.0942256474382575</v>
      </c>
      <c r="AE53" s="81">
        <f t="shared" si="33"/>
        <v>298.75402338846982</v>
      </c>
      <c r="AF53" s="82">
        <f t="shared" si="16"/>
        <v>-24.499999999999996</v>
      </c>
      <c r="AG53" s="44">
        <f t="shared" si="17"/>
        <v>-63.845976611530148</v>
      </c>
      <c r="AH53" s="64">
        <f t="shared" si="18"/>
        <v>-4.4031708007951824</v>
      </c>
      <c r="AI53" s="62"/>
      <c r="AK53" s="21"/>
      <c r="AL53" s="87"/>
    </row>
    <row r="54" spans="2:38" s="3" customFormat="1" x14ac:dyDescent="0.3">
      <c r="B54" s="1"/>
      <c r="C54" s="1"/>
      <c r="D54" s="1"/>
      <c r="F54" s="1"/>
      <c r="I54" s="90">
        <v>15000</v>
      </c>
      <c r="J54" s="29">
        <f t="shared" si="40"/>
        <v>9.320591049747101</v>
      </c>
      <c r="K54" s="29">
        <f t="shared" si="4"/>
        <v>206.69342711919171</v>
      </c>
      <c r="L54" s="97">
        <v>290</v>
      </c>
      <c r="M54" s="58">
        <f t="shared" si="35"/>
        <v>0</v>
      </c>
      <c r="N54" s="44">
        <f t="shared" si="36"/>
        <v>-24.499999999999996</v>
      </c>
      <c r="O54" s="44">
        <f t="shared" si="37"/>
        <v>-155.90657288080826</v>
      </c>
      <c r="P54" s="54">
        <f t="shared" si="38"/>
        <v>-10.752177440055743</v>
      </c>
      <c r="Q54" s="81">
        <f t="shared" si="31"/>
        <v>548.35274087514131</v>
      </c>
      <c r="R54" s="44">
        <f t="shared" si="9"/>
        <v>-24.499999999999996</v>
      </c>
      <c r="S54" s="65">
        <f t="shared" si="10"/>
        <v>185.75274087514134</v>
      </c>
      <c r="T54" s="44">
        <f t="shared" si="11"/>
        <v>185.75274087514134</v>
      </c>
      <c r="U54" s="64">
        <f t="shared" si="12"/>
        <v>12.810533853458024</v>
      </c>
      <c r="V54" s="65"/>
      <c r="W54" s="65"/>
      <c r="X54" s="65"/>
      <c r="Y54" s="65"/>
      <c r="Z54" s="44"/>
      <c r="AA54" s="81">
        <f t="shared" si="32"/>
        <v>436.51683298743581</v>
      </c>
      <c r="AB54" s="44">
        <f t="shared" si="13"/>
        <v>-24.499999999999996</v>
      </c>
      <c r="AC54" s="44">
        <f t="shared" si="14"/>
        <v>73.916832987435839</v>
      </c>
      <c r="AD54" s="64">
        <f t="shared" si="15"/>
        <v>5.0977126198231613</v>
      </c>
      <c r="AE54" s="81">
        <f t="shared" si="33"/>
        <v>309.05588626393427</v>
      </c>
      <c r="AF54" s="82">
        <f t="shared" si="16"/>
        <v>-24.499999999999996</v>
      </c>
      <c r="AG54" s="44">
        <f t="shared" si="17"/>
        <v>-53.544113736065697</v>
      </c>
      <c r="AH54" s="64">
        <f t="shared" si="18"/>
        <v>-3.6926974990390136</v>
      </c>
      <c r="AI54" s="62"/>
      <c r="AK54" s="21"/>
      <c r="AL54" s="87"/>
    </row>
    <row r="55" spans="2:38" s="3" customFormat="1" x14ac:dyDescent="0.3">
      <c r="B55" s="1"/>
      <c r="C55" s="1"/>
      <c r="D55" s="1"/>
      <c r="F55" s="1"/>
      <c r="I55" s="90">
        <v>15500</v>
      </c>
      <c r="J55" s="29">
        <f t="shared" si="40"/>
        <v>9.6312774180720044</v>
      </c>
      <c r="K55" s="29">
        <f t="shared" si="4"/>
        <v>213.58320802316476</v>
      </c>
      <c r="L55" s="98">
        <v>291</v>
      </c>
      <c r="M55" s="58">
        <f t="shared" si="35"/>
        <v>0.1</v>
      </c>
      <c r="N55" s="44">
        <f t="shared" si="36"/>
        <v>-24.399999999999995</v>
      </c>
      <c r="O55" s="44">
        <f t="shared" si="37"/>
        <v>-147.53679197683519</v>
      </c>
      <c r="P55" s="54">
        <f t="shared" si="38"/>
        <v>-10.17495117081622</v>
      </c>
      <c r="Q55" s="81">
        <f t="shared" si="31"/>
        <v>566.63116557097942</v>
      </c>
      <c r="R55" s="44">
        <f t="shared" si="9"/>
        <v>-24.399999999999995</v>
      </c>
      <c r="S55" s="65">
        <f t="shared" si="10"/>
        <v>205.51116557097947</v>
      </c>
      <c r="T55" s="44">
        <f t="shared" si="11"/>
        <v>205.51116557097947</v>
      </c>
      <c r="U55" s="64">
        <f t="shared" si="12"/>
        <v>14.173183832481342</v>
      </c>
      <c r="V55" s="65"/>
      <c r="W55" s="65"/>
      <c r="X55" s="65"/>
      <c r="Y55" s="65"/>
      <c r="Z55" s="44"/>
      <c r="AA55" s="81">
        <f t="shared" si="32"/>
        <v>451.06739408701702</v>
      </c>
      <c r="AB55" s="44">
        <f t="shared" si="13"/>
        <v>-24.399999999999995</v>
      </c>
      <c r="AC55" s="44">
        <f t="shared" si="14"/>
        <v>89.947394087017074</v>
      </c>
      <c r="AD55" s="64">
        <f t="shared" si="15"/>
        <v>6.2032685577253153</v>
      </c>
      <c r="AE55" s="81">
        <f t="shared" si="33"/>
        <v>319.35774913939878</v>
      </c>
      <c r="AF55" s="82">
        <f t="shared" si="16"/>
        <v>-24.399999999999995</v>
      </c>
      <c r="AG55" s="44">
        <f t="shared" si="17"/>
        <v>-41.762250860601171</v>
      </c>
      <c r="AH55" s="64">
        <f t="shared" si="18"/>
        <v>-2.8801552317655981</v>
      </c>
      <c r="AI55" s="62"/>
      <c r="AK55" s="21"/>
      <c r="AL55" s="87"/>
    </row>
    <row r="56" spans="2:38" s="3" customFormat="1" x14ac:dyDescent="0.3">
      <c r="B56" s="1"/>
      <c r="C56" s="1"/>
      <c r="D56" s="1"/>
      <c r="F56" s="1"/>
      <c r="I56" s="90">
        <v>16000</v>
      </c>
      <c r="J56" s="29">
        <f t="shared" si="40"/>
        <v>9.9419637863969079</v>
      </c>
      <c r="K56" s="29">
        <f t="shared" si="4"/>
        <v>220.47298892713783</v>
      </c>
      <c r="L56" s="97">
        <v>288</v>
      </c>
      <c r="M56" s="58">
        <f t="shared" si="35"/>
        <v>-0.3</v>
      </c>
      <c r="N56" s="44">
        <f t="shared" si="36"/>
        <v>-24.699999999999996</v>
      </c>
      <c r="O56" s="44">
        <f t="shared" si="37"/>
        <v>-145.08701107286211</v>
      </c>
      <c r="P56" s="54">
        <f t="shared" si="38"/>
        <v>-10.006000763645662</v>
      </c>
      <c r="Q56" s="81">
        <f t="shared" si="31"/>
        <v>584.90959026681742</v>
      </c>
      <c r="R56" s="44">
        <f t="shared" si="9"/>
        <v>-24.699999999999996</v>
      </c>
      <c r="S56" s="65">
        <f t="shared" si="10"/>
        <v>219.34959026681747</v>
      </c>
      <c r="T56" s="44">
        <f t="shared" si="11"/>
        <v>219.34959026681747</v>
      </c>
      <c r="U56" s="64">
        <f t="shared" si="12"/>
        <v>15.127557949435687</v>
      </c>
      <c r="V56" s="65"/>
      <c r="W56" s="65"/>
      <c r="X56" s="65"/>
      <c r="Y56" s="65"/>
      <c r="Z56" s="44"/>
      <c r="AA56" s="81">
        <f t="shared" si="32"/>
        <v>465.61795518659824</v>
      </c>
      <c r="AB56" s="44">
        <f t="shared" si="13"/>
        <v>-24.699999999999996</v>
      </c>
      <c r="AC56" s="44">
        <f t="shared" si="14"/>
        <v>100.05795518659829</v>
      </c>
      <c r="AD56" s="64">
        <f t="shared" si="15"/>
        <v>6.9005486335585031</v>
      </c>
      <c r="AE56" s="81">
        <f t="shared" si="33"/>
        <v>329.65961201486323</v>
      </c>
      <c r="AF56" s="82">
        <f t="shared" si="16"/>
        <v>-24.699999999999996</v>
      </c>
      <c r="AG56" s="44">
        <f t="shared" si="17"/>
        <v>-35.900387985136717</v>
      </c>
      <c r="AH56" s="64">
        <f t="shared" si="18"/>
        <v>-2.4758888265611527</v>
      </c>
      <c r="AI56" s="62"/>
      <c r="AK56" s="21"/>
      <c r="AL56" s="87"/>
    </row>
    <row r="57" spans="2:38" s="3" customFormat="1" x14ac:dyDescent="0.3">
      <c r="B57" s="1"/>
      <c r="C57" s="1"/>
      <c r="D57" s="1"/>
      <c r="F57" s="1"/>
      <c r="I57" s="90">
        <v>16500</v>
      </c>
      <c r="J57" s="29">
        <f t="shared" si="40"/>
        <v>10.252650154721811</v>
      </c>
      <c r="K57" s="29">
        <f t="shared" si="4"/>
        <v>227.36276983111088</v>
      </c>
      <c r="L57" s="98">
        <v>287</v>
      </c>
      <c r="M57" s="58">
        <f t="shared" si="35"/>
        <v>-0.1</v>
      </c>
      <c r="N57" s="44">
        <f t="shared" si="36"/>
        <v>-24.799999999999997</v>
      </c>
      <c r="O57" s="44">
        <f t="shared" si="37"/>
        <v>-139.67723016888908</v>
      </c>
      <c r="P57" s="54">
        <f t="shared" si="38"/>
        <v>-9.632912425440626</v>
      </c>
      <c r="Q57" s="81">
        <f t="shared" si="31"/>
        <v>603.18801496265542</v>
      </c>
      <c r="R57" s="44">
        <f t="shared" si="9"/>
        <v>-24.799999999999997</v>
      </c>
      <c r="S57" s="65">
        <f t="shared" si="10"/>
        <v>236.14801496265545</v>
      </c>
      <c r="T57" s="44">
        <f t="shared" si="11"/>
        <v>236.14801496265545</v>
      </c>
      <c r="U57" s="64">
        <f t="shared" si="12"/>
        <v>16.286069997424512</v>
      </c>
      <c r="V57" s="65"/>
      <c r="W57" s="65"/>
      <c r="X57" s="65"/>
      <c r="Y57" s="65"/>
      <c r="Z57" s="44"/>
      <c r="AA57" s="81">
        <f t="shared" si="32"/>
        <v>480.1685162861794</v>
      </c>
      <c r="AB57" s="44">
        <f t="shared" si="13"/>
        <v>-24.799999999999997</v>
      </c>
      <c r="AC57" s="44">
        <f t="shared" si="14"/>
        <v>113.12851628617943</v>
      </c>
      <c r="AD57" s="64">
        <f t="shared" si="15"/>
        <v>7.8019666404261674</v>
      </c>
      <c r="AE57" s="81">
        <f t="shared" si="33"/>
        <v>339.96147489032768</v>
      </c>
      <c r="AF57" s="82">
        <f t="shared" si="16"/>
        <v>-24.799999999999997</v>
      </c>
      <c r="AG57" s="44">
        <f t="shared" si="17"/>
        <v>-27.078525109672285</v>
      </c>
      <c r="AH57" s="64">
        <f t="shared" si="18"/>
        <v>-1.8674844903222265</v>
      </c>
      <c r="AI57" s="62"/>
      <c r="AK57" s="21">
        <v>16300</v>
      </c>
      <c r="AL57" s="87"/>
    </row>
    <row r="58" spans="2:38" s="3" customFormat="1" x14ac:dyDescent="0.3">
      <c r="B58" s="1"/>
      <c r="C58" s="1"/>
      <c r="D58" s="1"/>
      <c r="F58" s="1"/>
      <c r="I58" s="90">
        <v>17000</v>
      </c>
      <c r="J58" s="29">
        <f t="shared" si="40"/>
        <v>10.563336523046715</v>
      </c>
      <c r="K58" s="29">
        <f t="shared" si="4"/>
        <v>234.25255073508393</v>
      </c>
      <c r="L58" s="97">
        <v>285</v>
      </c>
      <c r="M58" s="58">
        <f t="shared" si="35"/>
        <v>-0.2</v>
      </c>
      <c r="N58" s="44">
        <f t="shared" si="36"/>
        <v>-24.999999999999996</v>
      </c>
      <c r="O58" s="44">
        <f t="shared" si="37"/>
        <v>-135.74744926491601</v>
      </c>
      <c r="P58" s="54">
        <f t="shared" si="38"/>
        <v>-9.3618930527528281</v>
      </c>
      <c r="Q58" s="81">
        <f t="shared" si="31"/>
        <v>621.46643965849353</v>
      </c>
      <c r="R58" s="44">
        <f t="shared" si="9"/>
        <v>-24.999999999999996</v>
      </c>
      <c r="S58" s="65">
        <f t="shared" ref="S58:S85" si="41">+T58</f>
        <v>251.46643965849358</v>
      </c>
      <c r="T58" s="44">
        <f t="shared" ref="T58:T89" si="42">+Q58+R58*14.8</f>
        <v>251.46643965849358</v>
      </c>
      <c r="U58" s="64">
        <f t="shared" si="12"/>
        <v>17.342513079896108</v>
      </c>
      <c r="V58" s="65"/>
      <c r="W58" s="65"/>
      <c r="X58" s="65"/>
      <c r="Y58" s="65"/>
      <c r="Z58" s="44"/>
      <c r="AA58" s="81">
        <f t="shared" si="32"/>
        <v>494.71907738576061</v>
      </c>
      <c r="AB58" s="44">
        <f t="shared" ref="AB58:AB89" si="43">+N58</f>
        <v>-24.999999999999996</v>
      </c>
      <c r="AC58" s="44">
        <f t="shared" ref="AC58:AC89" si="44">+AA58+AB58*14.8</f>
        <v>124.71907738576067</v>
      </c>
      <c r="AD58" s="64">
        <f t="shared" ref="AD58:AD89" si="45">+AC58/14.5</f>
        <v>8.6013156817765974</v>
      </c>
      <c r="AE58" s="81">
        <f t="shared" si="33"/>
        <v>350.26333776579219</v>
      </c>
      <c r="AF58" s="82">
        <f t="shared" ref="AF58:AF89" si="46">+N58</f>
        <v>-24.999999999999996</v>
      </c>
      <c r="AG58" s="44">
        <f t="shared" si="17"/>
        <v>-19.736662234207756</v>
      </c>
      <c r="AH58" s="64">
        <f t="shared" si="18"/>
        <v>-1.361149119600535</v>
      </c>
      <c r="AI58" s="62"/>
      <c r="AK58" s="21"/>
      <c r="AL58" s="87"/>
    </row>
    <row r="59" spans="2:38" s="3" customFormat="1" x14ac:dyDescent="0.3">
      <c r="B59" s="1"/>
      <c r="C59" s="1"/>
      <c r="D59" s="1"/>
      <c r="F59" s="1"/>
      <c r="I59" s="90">
        <v>17500</v>
      </c>
      <c r="J59" s="29">
        <f t="shared" si="40"/>
        <v>10.874022891371618</v>
      </c>
      <c r="K59" s="29">
        <f t="shared" si="4"/>
        <v>241.14233163905701</v>
      </c>
      <c r="L59" s="98">
        <v>281</v>
      </c>
      <c r="M59" s="58">
        <f t="shared" si="35"/>
        <v>-0.4</v>
      </c>
      <c r="N59" s="44">
        <f t="shared" si="36"/>
        <v>-25.399999999999995</v>
      </c>
      <c r="O59" s="44">
        <f t="shared" si="37"/>
        <v>-134.77766836094295</v>
      </c>
      <c r="P59" s="54">
        <f t="shared" si="38"/>
        <v>-9.2950116110995147</v>
      </c>
      <c r="Q59" s="81">
        <f t="shared" si="31"/>
        <v>639.74486435433164</v>
      </c>
      <c r="R59" s="44">
        <f t="shared" si="9"/>
        <v>-25.399999999999995</v>
      </c>
      <c r="S59" s="65">
        <f t="shared" si="41"/>
        <v>263.82486435433168</v>
      </c>
      <c r="T59" s="44">
        <f t="shared" si="42"/>
        <v>263.82486435433168</v>
      </c>
      <c r="U59" s="64">
        <f t="shared" si="12"/>
        <v>18.194818231333219</v>
      </c>
      <c r="V59" s="65"/>
      <c r="W59" s="65"/>
      <c r="X59" s="65"/>
      <c r="Y59" s="65"/>
      <c r="Z59" s="44"/>
      <c r="AA59" s="81">
        <f t="shared" si="32"/>
        <v>509.26963848534189</v>
      </c>
      <c r="AB59" s="44">
        <f t="shared" si="43"/>
        <v>-25.399999999999995</v>
      </c>
      <c r="AC59" s="44">
        <f t="shared" si="44"/>
        <v>133.34963848534193</v>
      </c>
      <c r="AD59" s="64">
        <f t="shared" si="45"/>
        <v>9.1965267920925466</v>
      </c>
      <c r="AE59" s="81">
        <f t="shared" si="33"/>
        <v>360.56520064125669</v>
      </c>
      <c r="AF59" s="82">
        <f t="shared" si="46"/>
        <v>-25.399999999999995</v>
      </c>
      <c r="AG59" s="44">
        <f t="shared" si="17"/>
        <v>-15.354799358743264</v>
      </c>
      <c r="AH59" s="64">
        <f t="shared" si="18"/>
        <v>-1.0589516799133285</v>
      </c>
      <c r="AI59" s="62"/>
      <c r="AK59" s="21"/>
      <c r="AL59" s="87"/>
    </row>
    <row r="60" spans="2:38" s="3" customFormat="1" x14ac:dyDescent="0.3">
      <c r="B60" s="1"/>
      <c r="C60" s="1"/>
      <c r="D60" s="1"/>
      <c r="F60" s="1"/>
      <c r="I60" s="90">
        <v>18000</v>
      </c>
      <c r="J60" s="29">
        <f t="shared" si="40"/>
        <v>11.184709259696522</v>
      </c>
      <c r="K60" s="29">
        <f t="shared" si="4"/>
        <v>248.03211254303005</v>
      </c>
      <c r="L60" s="97">
        <v>288</v>
      </c>
      <c r="M60" s="58">
        <f t="shared" si="35"/>
        <v>0.7</v>
      </c>
      <c r="N60" s="44">
        <f t="shared" si="36"/>
        <v>-24.699999999999996</v>
      </c>
      <c r="O60" s="44">
        <f t="shared" si="37"/>
        <v>-117.52788745696989</v>
      </c>
      <c r="P60" s="54">
        <f t="shared" si="38"/>
        <v>-8.1053715487565441</v>
      </c>
      <c r="Q60" s="81">
        <f t="shared" si="31"/>
        <v>658.02328905016964</v>
      </c>
      <c r="R60" s="44">
        <f t="shared" si="9"/>
        <v>-24.699999999999996</v>
      </c>
      <c r="S60" s="65">
        <f t="shared" si="41"/>
        <v>292.46328905016969</v>
      </c>
      <c r="T60" s="44">
        <f t="shared" si="42"/>
        <v>292.46328905016969</v>
      </c>
      <c r="U60" s="64">
        <f t="shared" si="12"/>
        <v>20.169882003459978</v>
      </c>
      <c r="V60" s="65"/>
      <c r="W60" s="65"/>
      <c r="X60" s="65"/>
      <c r="Y60" s="65"/>
      <c r="Z60" s="44"/>
      <c r="AA60" s="81">
        <f t="shared" si="32"/>
        <v>523.82019958492299</v>
      </c>
      <c r="AB60" s="44">
        <f t="shared" si="43"/>
        <v>-24.699999999999996</v>
      </c>
      <c r="AC60" s="44">
        <f t="shared" si="44"/>
        <v>158.26019958492304</v>
      </c>
      <c r="AD60" s="64">
        <f t="shared" si="45"/>
        <v>10.914496523098141</v>
      </c>
      <c r="AE60" s="81">
        <f t="shared" si="33"/>
        <v>370.86706351672115</v>
      </c>
      <c r="AF60" s="82">
        <f t="shared" si="46"/>
        <v>-24.699999999999996</v>
      </c>
      <c r="AG60" s="44">
        <f t="shared" si="17"/>
        <v>5.3070635167212004</v>
      </c>
      <c r="AH60" s="64">
        <f t="shared" si="18"/>
        <v>0.36600438046353106</v>
      </c>
      <c r="AI60" s="62"/>
      <c r="AK60" s="21"/>
      <c r="AL60" s="87"/>
    </row>
    <row r="61" spans="2:38" s="3" customFormat="1" x14ac:dyDescent="0.3">
      <c r="B61" s="1"/>
      <c r="C61" s="1"/>
      <c r="D61" s="1"/>
      <c r="F61" s="1"/>
      <c r="I61" s="90">
        <v>18500</v>
      </c>
      <c r="J61" s="29">
        <f t="shared" si="40"/>
        <v>11.495395628021425</v>
      </c>
      <c r="K61" s="29">
        <f t="shared" si="4"/>
        <v>254.92189344700316</v>
      </c>
      <c r="L61" s="98">
        <v>287</v>
      </c>
      <c r="M61" s="58">
        <f t="shared" si="35"/>
        <v>-0.1</v>
      </c>
      <c r="N61" s="44">
        <f t="shared" si="36"/>
        <v>-24.799999999999997</v>
      </c>
      <c r="O61" s="44">
        <f t="shared" si="37"/>
        <v>-112.11810655299681</v>
      </c>
      <c r="P61" s="54">
        <f t="shared" si="38"/>
        <v>-7.732283210551504</v>
      </c>
      <c r="Q61" s="81">
        <f t="shared" si="31"/>
        <v>676.30171374600775</v>
      </c>
      <c r="R61" s="44">
        <f t="shared" si="9"/>
        <v>-24.799999999999997</v>
      </c>
      <c r="S61" s="65">
        <f t="shared" si="41"/>
        <v>309.26171374600779</v>
      </c>
      <c r="T61" s="44">
        <f t="shared" si="42"/>
        <v>309.26171374600779</v>
      </c>
      <c r="U61" s="64">
        <f t="shared" si="12"/>
        <v>21.328394051448814</v>
      </c>
      <c r="V61" s="65"/>
      <c r="W61" s="65"/>
      <c r="X61" s="65"/>
      <c r="Y61" s="65"/>
      <c r="Z61" s="44"/>
      <c r="AA61" s="81">
        <f t="shared" si="32"/>
        <v>538.37076068450426</v>
      </c>
      <c r="AB61" s="44">
        <f t="shared" si="43"/>
        <v>-24.799999999999997</v>
      </c>
      <c r="AC61" s="44">
        <f t="shared" si="44"/>
        <v>171.3307606845043</v>
      </c>
      <c r="AD61" s="64">
        <f t="shared" si="45"/>
        <v>11.815914529965813</v>
      </c>
      <c r="AE61" s="81">
        <f t="shared" si="33"/>
        <v>381.16892639218565</v>
      </c>
      <c r="AF61" s="82">
        <f t="shared" si="46"/>
        <v>-24.799999999999997</v>
      </c>
      <c r="AG61" s="44">
        <f t="shared" si="17"/>
        <v>14.12892639218569</v>
      </c>
      <c r="AH61" s="64">
        <f t="shared" si="18"/>
        <v>0.97440871670246143</v>
      </c>
      <c r="AI61" s="62"/>
      <c r="AK61" s="21"/>
      <c r="AL61" s="87"/>
    </row>
    <row r="62" spans="2:38" s="3" customFormat="1" x14ac:dyDescent="0.3">
      <c r="B62" s="1"/>
      <c r="C62" s="1"/>
      <c r="D62" s="1"/>
      <c r="F62" s="1"/>
      <c r="I62" s="90">
        <v>19000</v>
      </c>
      <c r="J62" s="29">
        <f t="shared" si="40"/>
        <v>11.806081996346329</v>
      </c>
      <c r="K62" s="29">
        <f t="shared" si="4"/>
        <v>261.8116743509762</v>
      </c>
      <c r="L62" s="97">
        <v>284</v>
      </c>
      <c r="M62" s="58">
        <f t="shared" si="35"/>
        <v>-0.3</v>
      </c>
      <c r="N62" s="44">
        <f t="shared" si="36"/>
        <v>-25.099999999999998</v>
      </c>
      <c r="O62" s="44">
        <f t="shared" si="37"/>
        <v>-109.66832564902376</v>
      </c>
      <c r="P62" s="54">
        <f t="shared" si="38"/>
        <v>-7.5633328033809484</v>
      </c>
      <c r="Q62" s="81">
        <f t="shared" si="31"/>
        <v>694.58013844184575</v>
      </c>
      <c r="R62" s="44">
        <f t="shared" si="9"/>
        <v>-25.099999999999998</v>
      </c>
      <c r="S62" s="65">
        <f t="shared" si="41"/>
        <v>323.10013844184579</v>
      </c>
      <c r="T62" s="44">
        <f t="shared" si="42"/>
        <v>323.10013844184579</v>
      </c>
      <c r="U62" s="64">
        <f t="shared" si="12"/>
        <v>22.282768168403159</v>
      </c>
      <c r="V62" s="65"/>
      <c r="W62" s="65"/>
      <c r="X62" s="65"/>
      <c r="Y62" s="65"/>
      <c r="Z62" s="44"/>
      <c r="AA62" s="81">
        <f t="shared" si="32"/>
        <v>552.92132178408542</v>
      </c>
      <c r="AB62" s="44">
        <f t="shared" si="43"/>
        <v>-25.099999999999998</v>
      </c>
      <c r="AC62" s="44">
        <f t="shared" si="44"/>
        <v>181.44132178408546</v>
      </c>
      <c r="AD62" s="64">
        <f t="shared" si="45"/>
        <v>12.513194605798997</v>
      </c>
      <c r="AE62" s="81">
        <f t="shared" si="33"/>
        <v>391.4707892676501</v>
      </c>
      <c r="AF62" s="82">
        <f t="shared" si="46"/>
        <v>-25.099999999999998</v>
      </c>
      <c r="AG62" s="44">
        <f t="shared" si="17"/>
        <v>19.990789267650143</v>
      </c>
      <c r="AH62" s="64">
        <f t="shared" si="18"/>
        <v>1.3786751219069064</v>
      </c>
      <c r="AI62" s="72"/>
      <c r="AK62" s="21"/>
      <c r="AL62" s="87"/>
    </row>
    <row r="63" spans="2:38" s="3" customFormat="1" x14ac:dyDescent="0.3">
      <c r="B63" s="1"/>
      <c r="C63" s="1"/>
      <c r="D63" s="1"/>
      <c r="F63" s="1"/>
      <c r="I63" s="90">
        <v>19500</v>
      </c>
      <c r="J63" s="29">
        <f t="shared" si="40"/>
        <v>12.116768364671232</v>
      </c>
      <c r="K63" s="29">
        <f t="shared" si="4"/>
        <v>268.70145525494922</v>
      </c>
      <c r="L63" s="98">
        <v>285</v>
      </c>
      <c r="M63" s="58">
        <f t="shared" si="35"/>
        <v>0.1</v>
      </c>
      <c r="N63" s="44">
        <f t="shared" si="36"/>
        <v>-24.999999999999996</v>
      </c>
      <c r="O63" s="44">
        <f t="shared" si="37"/>
        <v>-101.29854474505072</v>
      </c>
      <c r="P63" s="54">
        <f t="shared" si="38"/>
        <v>-6.9861065341414292</v>
      </c>
      <c r="Q63" s="81">
        <f t="shared" si="31"/>
        <v>712.85856313768375</v>
      </c>
      <c r="R63" s="44">
        <f t="shared" si="9"/>
        <v>-24.999999999999996</v>
      </c>
      <c r="S63" s="65">
        <f t="shared" si="41"/>
        <v>342.8585631376838</v>
      </c>
      <c r="T63" s="44">
        <f t="shared" si="42"/>
        <v>342.8585631376838</v>
      </c>
      <c r="U63" s="64">
        <f t="shared" si="12"/>
        <v>23.645418147426469</v>
      </c>
      <c r="V63" s="65"/>
      <c r="W63" s="65"/>
      <c r="X63" s="65"/>
      <c r="Y63" s="65"/>
      <c r="Z63" s="44"/>
      <c r="AA63" s="81">
        <f t="shared" si="32"/>
        <v>567.47188288366658</v>
      </c>
      <c r="AB63" s="44">
        <f t="shared" si="43"/>
        <v>-24.999999999999996</v>
      </c>
      <c r="AC63" s="44">
        <f t="shared" si="44"/>
        <v>197.47188288366664</v>
      </c>
      <c r="AD63" s="64">
        <f t="shared" si="45"/>
        <v>13.618750543701147</v>
      </c>
      <c r="AE63" s="81">
        <f t="shared" si="33"/>
        <v>401.77265214311461</v>
      </c>
      <c r="AF63" s="82">
        <f t="shared" si="46"/>
        <v>-24.999999999999996</v>
      </c>
      <c r="AG63" s="44">
        <f t="shared" si="17"/>
        <v>31.772652143114669</v>
      </c>
      <c r="AH63" s="64">
        <f t="shared" si="18"/>
        <v>2.1912173891803222</v>
      </c>
      <c r="AI63" s="62"/>
      <c r="AK63" s="21"/>
      <c r="AL63" s="87"/>
    </row>
    <row r="64" spans="2:38" s="3" customFormat="1" x14ac:dyDescent="0.3">
      <c r="B64" s="1"/>
      <c r="C64" s="1"/>
      <c r="D64" s="1"/>
      <c r="F64" s="1"/>
      <c r="I64" s="90">
        <v>20000</v>
      </c>
      <c r="J64" s="29">
        <f t="shared" si="40"/>
        <v>12.427454732996136</v>
      </c>
      <c r="K64" s="29">
        <f t="shared" si="4"/>
        <v>275.5912361589223</v>
      </c>
      <c r="L64" s="97">
        <v>287</v>
      </c>
      <c r="M64" s="58">
        <f t="shared" si="35"/>
        <v>0.2</v>
      </c>
      <c r="N64" s="44">
        <f t="shared" si="36"/>
        <v>-24.799999999999997</v>
      </c>
      <c r="O64" s="44">
        <f t="shared" si="37"/>
        <v>-91.448763841077664</v>
      </c>
      <c r="P64" s="54">
        <f t="shared" si="38"/>
        <v>-6.3068112993846661</v>
      </c>
      <c r="Q64" s="81">
        <f t="shared" si="31"/>
        <v>731.13698783352174</v>
      </c>
      <c r="R64" s="44">
        <f t="shared" si="9"/>
        <v>-24.799999999999997</v>
      </c>
      <c r="S64" s="65">
        <f t="shared" si="41"/>
        <v>364.09698783352178</v>
      </c>
      <c r="T64" s="44">
        <f t="shared" si="42"/>
        <v>364.09698783352178</v>
      </c>
      <c r="U64" s="64">
        <f t="shared" si="12"/>
        <v>25.110137091967019</v>
      </c>
      <c r="V64" s="65"/>
      <c r="W64" s="65"/>
      <c r="X64" s="65"/>
      <c r="Y64" s="65"/>
      <c r="Z64" s="44"/>
      <c r="AA64" s="81">
        <f t="shared" si="32"/>
        <v>582.02244398324774</v>
      </c>
      <c r="AB64" s="44">
        <f t="shared" si="43"/>
        <v>-24.799999999999997</v>
      </c>
      <c r="AC64" s="44">
        <f t="shared" si="44"/>
        <v>214.98244398324778</v>
      </c>
      <c r="AD64" s="64">
        <f t="shared" si="45"/>
        <v>14.826375447120537</v>
      </c>
      <c r="AE64" s="81">
        <f t="shared" si="33"/>
        <v>412.07451501857906</v>
      </c>
      <c r="AF64" s="82">
        <f t="shared" si="46"/>
        <v>-24.799999999999997</v>
      </c>
      <c r="AG64" s="44">
        <f t="shared" si="17"/>
        <v>45.0345150185791</v>
      </c>
      <c r="AH64" s="64">
        <f t="shared" si="18"/>
        <v>3.1058286219709723</v>
      </c>
      <c r="AI64" s="62"/>
      <c r="AK64" s="21"/>
      <c r="AL64" s="87"/>
    </row>
    <row r="65" spans="2:38" s="3" customFormat="1" x14ac:dyDescent="0.3">
      <c r="B65" s="1"/>
      <c r="C65" s="1"/>
      <c r="D65" s="1"/>
      <c r="F65" s="1"/>
      <c r="I65" s="90">
        <v>20500</v>
      </c>
      <c r="J65" s="29">
        <f t="shared" si="40"/>
        <v>12.738141101321039</v>
      </c>
      <c r="K65" s="29">
        <f t="shared" si="4"/>
        <v>282.48101706289538</v>
      </c>
      <c r="L65" s="98">
        <v>283</v>
      </c>
      <c r="M65" s="58">
        <f t="shared" si="35"/>
        <v>-0.4</v>
      </c>
      <c r="N65" s="44">
        <f t="shared" si="36"/>
        <v>-25.199999999999996</v>
      </c>
      <c r="O65" s="44">
        <f t="shared" si="37"/>
        <v>-90.478982937104604</v>
      </c>
      <c r="P65" s="54">
        <f t="shared" si="38"/>
        <v>-6.2399298577313518</v>
      </c>
      <c r="Q65" s="81">
        <f t="shared" si="31"/>
        <v>749.41541252935997</v>
      </c>
      <c r="R65" s="44">
        <f t="shared" si="9"/>
        <v>-25.199999999999996</v>
      </c>
      <c r="S65" s="65">
        <f t="shared" si="41"/>
        <v>376.45541252935999</v>
      </c>
      <c r="T65" s="44">
        <f t="shared" si="42"/>
        <v>376.45541252935999</v>
      </c>
      <c r="U65" s="64">
        <f t="shared" si="12"/>
        <v>25.962442243404137</v>
      </c>
      <c r="V65" s="65"/>
      <c r="W65" s="65"/>
      <c r="X65" s="65"/>
      <c r="Y65" s="65"/>
      <c r="Z65" s="44"/>
      <c r="AA65" s="81">
        <f t="shared" si="32"/>
        <v>596.57300508282901</v>
      </c>
      <c r="AB65" s="44">
        <f t="shared" si="43"/>
        <v>-25.199999999999996</v>
      </c>
      <c r="AC65" s="44">
        <f t="shared" si="44"/>
        <v>223.61300508282903</v>
      </c>
      <c r="AD65" s="64">
        <f t="shared" si="45"/>
        <v>15.421586557436486</v>
      </c>
      <c r="AE65" s="81">
        <f t="shared" si="33"/>
        <v>422.37637789404357</v>
      </c>
      <c r="AF65" s="82">
        <f t="shared" si="46"/>
        <v>-25.199999999999996</v>
      </c>
      <c r="AG65" s="44">
        <f t="shared" si="17"/>
        <v>49.416377894043592</v>
      </c>
      <c r="AH65" s="64">
        <f t="shared" si="18"/>
        <v>3.4080260616581786</v>
      </c>
      <c r="AI65" s="62"/>
      <c r="AK65" s="21"/>
      <c r="AL65" s="87"/>
    </row>
    <row r="66" spans="2:38" s="3" customFormat="1" x14ac:dyDescent="0.3">
      <c r="B66" s="1"/>
      <c r="C66" s="1"/>
      <c r="D66" s="1"/>
      <c r="F66" s="1"/>
      <c r="I66" s="90">
        <v>21000</v>
      </c>
      <c r="J66" s="29">
        <f t="shared" si="40"/>
        <v>13.048827469645943</v>
      </c>
      <c r="K66" s="29">
        <f t="shared" si="4"/>
        <v>289.37079796686839</v>
      </c>
      <c r="L66" s="97">
        <v>283</v>
      </c>
      <c r="M66" s="58">
        <f t="shared" si="35"/>
        <v>0</v>
      </c>
      <c r="N66" s="44">
        <f t="shared" si="36"/>
        <v>-25.199999999999996</v>
      </c>
      <c r="O66" s="44">
        <f t="shared" si="37"/>
        <v>-83.589202033131585</v>
      </c>
      <c r="P66" s="54">
        <f t="shared" si="38"/>
        <v>-5.7647725540090748</v>
      </c>
      <c r="Q66" s="81">
        <f t="shared" si="31"/>
        <v>767.69383722519797</v>
      </c>
      <c r="R66" s="44">
        <f t="shared" si="9"/>
        <v>-25.199999999999996</v>
      </c>
      <c r="S66" s="65">
        <f t="shared" si="41"/>
        <v>394.73383722519799</v>
      </c>
      <c r="T66" s="44">
        <f t="shared" si="42"/>
        <v>394.73383722519799</v>
      </c>
      <c r="U66" s="64">
        <f t="shared" si="12"/>
        <v>27.223023256910206</v>
      </c>
      <c r="V66" s="65"/>
      <c r="W66" s="65"/>
      <c r="X66" s="65"/>
      <c r="Y66" s="65"/>
      <c r="Z66" s="44"/>
      <c r="AA66" s="81">
        <f t="shared" si="32"/>
        <v>611.12356618241029</v>
      </c>
      <c r="AB66" s="44">
        <f t="shared" si="43"/>
        <v>-25.199999999999996</v>
      </c>
      <c r="AC66" s="44">
        <f t="shared" si="44"/>
        <v>238.16356618241031</v>
      </c>
      <c r="AD66" s="64">
        <f t="shared" si="45"/>
        <v>16.4250735298214</v>
      </c>
      <c r="AE66" s="81">
        <f t="shared" si="33"/>
        <v>432.67824076950802</v>
      </c>
      <c r="AF66" s="82">
        <f t="shared" si="46"/>
        <v>-25.199999999999996</v>
      </c>
      <c r="AG66" s="44">
        <f t="shared" si="17"/>
        <v>59.718240769508043</v>
      </c>
      <c r="AH66" s="64">
        <f t="shared" si="18"/>
        <v>4.1184993634143474</v>
      </c>
      <c r="AI66" s="62"/>
      <c r="AK66" s="21"/>
      <c r="AL66" s="87"/>
    </row>
    <row r="67" spans="2:38" s="3" customFormat="1" x14ac:dyDescent="0.3">
      <c r="B67" s="1"/>
      <c r="C67" s="1"/>
      <c r="D67" s="1"/>
      <c r="F67" s="1"/>
      <c r="I67" s="90">
        <v>21500</v>
      </c>
      <c r="J67" s="29">
        <f t="shared" si="40"/>
        <v>13.359513837970846</v>
      </c>
      <c r="K67" s="29">
        <f t="shared" si="4"/>
        <v>296.26057887084147</v>
      </c>
      <c r="L67" s="98">
        <v>276</v>
      </c>
      <c r="M67" s="58">
        <f t="shared" si="35"/>
        <v>-0.7</v>
      </c>
      <c r="N67" s="44">
        <f t="shared" si="36"/>
        <v>-25.899999999999995</v>
      </c>
      <c r="O67" s="44">
        <f t="shared" si="37"/>
        <v>-87.059421129158466</v>
      </c>
      <c r="P67" s="54">
        <f t="shared" si="38"/>
        <v>-6.00409800890748</v>
      </c>
      <c r="Q67" s="81">
        <f t="shared" si="31"/>
        <v>785.97226192103597</v>
      </c>
      <c r="R67" s="44">
        <f t="shared" si="9"/>
        <v>-25.899999999999995</v>
      </c>
      <c r="S67" s="65">
        <f t="shared" si="41"/>
        <v>402.65226192103603</v>
      </c>
      <c r="T67" s="44">
        <f t="shared" si="42"/>
        <v>402.65226192103603</v>
      </c>
      <c r="U67" s="64">
        <f t="shared" si="12"/>
        <v>27.769121511795589</v>
      </c>
      <c r="V67" s="65"/>
      <c r="W67" s="65"/>
      <c r="X67" s="65"/>
      <c r="Y67" s="65"/>
      <c r="Z67" s="44"/>
      <c r="AA67" s="81">
        <f t="shared" si="32"/>
        <v>625.67412728199145</v>
      </c>
      <c r="AB67" s="44">
        <f t="shared" si="43"/>
        <v>-25.899999999999995</v>
      </c>
      <c r="AC67" s="44">
        <f t="shared" si="44"/>
        <v>242.35412728199151</v>
      </c>
      <c r="AD67" s="64">
        <f t="shared" si="45"/>
        <v>16.714077743585623</v>
      </c>
      <c r="AE67" s="81">
        <f t="shared" si="33"/>
        <v>442.98010364497247</v>
      </c>
      <c r="AF67" s="82">
        <f t="shared" si="46"/>
        <v>-25.899999999999995</v>
      </c>
      <c r="AG67" s="44">
        <f t="shared" si="17"/>
        <v>59.660103644972537</v>
      </c>
      <c r="AH67" s="64">
        <f t="shared" si="18"/>
        <v>4.1144899065498297</v>
      </c>
      <c r="AI67" s="62"/>
      <c r="AK67" s="21"/>
      <c r="AL67" s="87"/>
    </row>
    <row r="68" spans="2:38" s="3" customFormat="1" x14ac:dyDescent="0.3">
      <c r="B68" s="1"/>
      <c r="C68" s="1"/>
      <c r="D68" s="1"/>
      <c r="F68" s="1"/>
      <c r="I68" s="90">
        <v>22000</v>
      </c>
      <c r="J68" s="29">
        <f t="shared" si="40"/>
        <v>13.67020020629575</v>
      </c>
      <c r="K68" s="29">
        <f t="shared" si="4"/>
        <v>303.15035977481455</v>
      </c>
      <c r="L68" s="97">
        <v>274</v>
      </c>
      <c r="M68" s="58">
        <f t="shared" si="35"/>
        <v>-0.2</v>
      </c>
      <c r="N68" s="44">
        <f t="shared" si="36"/>
        <v>-26.099999999999994</v>
      </c>
      <c r="O68" s="44">
        <f t="shared" si="37"/>
        <v>-83.129640225185369</v>
      </c>
      <c r="P68" s="54">
        <f t="shared" si="38"/>
        <v>-5.7330786362196804</v>
      </c>
      <c r="Q68" s="81">
        <f t="shared" si="31"/>
        <v>804.25068661687408</v>
      </c>
      <c r="R68" s="44">
        <f t="shared" si="9"/>
        <v>-26.099999999999994</v>
      </c>
      <c r="S68" s="65">
        <f t="shared" si="41"/>
        <v>417.97068661687416</v>
      </c>
      <c r="T68" s="44">
        <f t="shared" si="42"/>
        <v>417.97068661687416</v>
      </c>
      <c r="U68" s="64">
        <f t="shared" si="12"/>
        <v>28.825564594267185</v>
      </c>
      <c r="V68" s="65"/>
      <c r="W68" s="65"/>
      <c r="X68" s="65"/>
      <c r="Y68" s="65"/>
      <c r="Z68" s="44"/>
      <c r="AA68" s="81">
        <f t="shared" si="32"/>
        <v>640.22468838157272</v>
      </c>
      <c r="AB68" s="44">
        <f t="shared" si="43"/>
        <v>-26.099999999999994</v>
      </c>
      <c r="AC68" s="44">
        <f t="shared" si="44"/>
        <v>253.9446883815728</v>
      </c>
      <c r="AD68" s="64">
        <f t="shared" si="45"/>
        <v>17.513426784936055</v>
      </c>
      <c r="AE68" s="81">
        <f t="shared" si="33"/>
        <v>453.28196652043704</v>
      </c>
      <c r="AF68" s="82">
        <f t="shared" si="46"/>
        <v>-26.099999999999994</v>
      </c>
      <c r="AG68" s="44">
        <f t="shared" si="17"/>
        <v>67.001966520437122</v>
      </c>
      <c r="AH68" s="64">
        <f t="shared" si="18"/>
        <v>4.6208252772715257</v>
      </c>
      <c r="AI68" s="62"/>
      <c r="AK68" s="21"/>
      <c r="AL68" s="87"/>
    </row>
    <row r="69" spans="2:38" s="3" customFormat="1" x14ac:dyDescent="0.3">
      <c r="B69" s="1"/>
      <c r="C69" s="1"/>
      <c r="D69" s="1"/>
      <c r="F69" s="1"/>
      <c r="I69" s="90">
        <v>22500</v>
      </c>
      <c r="J69" s="29">
        <f t="shared" si="40"/>
        <v>13.980886574620653</v>
      </c>
      <c r="K69" s="29">
        <f t="shared" si="4"/>
        <v>310.04014067878762</v>
      </c>
      <c r="L69" s="98">
        <v>270</v>
      </c>
      <c r="M69" s="58">
        <f t="shared" si="35"/>
        <v>-0.4</v>
      </c>
      <c r="N69" s="44">
        <f t="shared" si="36"/>
        <v>-26.499999999999993</v>
      </c>
      <c r="O69" s="44">
        <f t="shared" si="37"/>
        <v>-82.159859321212309</v>
      </c>
      <c r="P69" s="54">
        <f t="shared" si="38"/>
        <v>-5.6661971945663661</v>
      </c>
      <c r="Q69" s="81">
        <f t="shared" si="31"/>
        <v>822.52911131271208</v>
      </c>
      <c r="R69" s="44">
        <f t="shared" si="9"/>
        <v>-26.499999999999993</v>
      </c>
      <c r="S69" s="65">
        <f t="shared" si="41"/>
        <v>430.32911131271214</v>
      </c>
      <c r="T69" s="44">
        <f t="shared" si="42"/>
        <v>430.32911131271214</v>
      </c>
      <c r="U69" s="64">
        <f t="shared" si="12"/>
        <v>29.677869745704285</v>
      </c>
      <c r="V69" s="65"/>
      <c r="W69" s="65"/>
      <c r="X69" s="65"/>
      <c r="Y69" s="65"/>
      <c r="Z69" s="44"/>
      <c r="AA69" s="81">
        <f t="shared" si="32"/>
        <v>654.77524948115388</v>
      </c>
      <c r="AB69" s="44">
        <f t="shared" si="43"/>
        <v>-26.499999999999993</v>
      </c>
      <c r="AC69" s="44">
        <f t="shared" si="44"/>
        <v>262.57524948115395</v>
      </c>
      <c r="AD69" s="64">
        <f t="shared" si="45"/>
        <v>18.108637895251995</v>
      </c>
      <c r="AE69" s="81">
        <f t="shared" si="33"/>
        <v>463.58382939590149</v>
      </c>
      <c r="AF69" s="82">
        <f t="shared" si="46"/>
        <v>-26.499999999999993</v>
      </c>
      <c r="AG69" s="44">
        <f t="shared" si="17"/>
        <v>71.383829395901557</v>
      </c>
      <c r="AH69" s="64">
        <f t="shared" si="18"/>
        <v>4.9230227169587284</v>
      </c>
      <c r="AI69" s="62"/>
      <c r="AK69" s="21"/>
      <c r="AL69" s="87"/>
    </row>
    <row r="70" spans="2:38" s="3" customFormat="1" x14ac:dyDescent="0.3">
      <c r="B70" s="1"/>
      <c r="C70" s="1"/>
      <c r="D70" s="1"/>
      <c r="F70" s="1"/>
      <c r="I70" s="90">
        <v>23000</v>
      </c>
      <c r="J70" s="29">
        <f t="shared" si="40"/>
        <v>14.291572942945557</v>
      </c>
      <c r="K70" s="29">
        <f t="shared" si="4"/>
        <v>316.9299215827607</v>
      </c>
      <c r="L70" s="97">
        <v>267</v>
      </c>
      <c r="M70" s="58">
        <f t="shared" si="35"/>
        <v>-0.3</v>
      </c>
      <c r="N70" s="44">
        <f t="shared" si="36"/>
        <v>-26.799999999999994</v>
      </c>
      <c r="O70" s="44">
        <f t="shared" si="37"/>
        <v>-79.710078417239231</v>
      </c>
      <c r="P70" s="54">
        <f t="shared" si="38"/>
        <v>-5.4972467873958086</v>
      </c>
      <c r="Q70" s="81">
        <f t="shared" si="31"/>
        <v>840.80753600855019</v>
      </c>
      <c r="R70" s="44">
        <f t="shared" si="9"/>
        <v>-26.799999999999994</v>
      </c>
      <c r="S70" s="65">
        <f t="shared" si="41"/>
        <v>444.16753600855026</v>
      </c>
      <c r="T70" s="44">
        <f t="shared" si="42"/>
        <v>444.16753600855026</v>
      </c>
      <c r="U70" s="64">
        <f t="shared" si="12"/>
        <v>30.632243862658637</v>
      </c>
      <c r="V70" s="65"/>
      <c r="W70" s="65"/>
      <c r="X70" s="65"/>
      <c r="Y70" s="65"/>
      <c r="Z70" s="44"/>
      <c r="AA70" s="81">
        <f t="shared" si="32"/>
        <v>669.32581058073515</v>
      </c>
      <c r="AB70" s="44">
        <f t="shared" si="43"/>
        <v>-26.799999999999994</v>
      </c>
      <c r="AC70" s="44">
        <f t="shared" si="44"/>
        <v>272.68581058073522</v>
      </c>
      <c r="AD70" s="64">
        <f t="shared" si="45"/>
        <v>18.805917971085186</v>
      </c>
      <c r="AE70" s="81">
        <f t="shared" si="33"/>
        <v>473.885692271366</v>
      </c>
      <c r="AF70" s="82">
        <f t="shared" si="46"/>
        <v>-26.799999999999994</v>
      </c>
      <c r="AG70" s="44">
        <f t="shared" si="17"/>
        <v>77.245692271366067</v>
      </c>
      <c r="AH70" s="64">
        <f t="shared" si="18"/>
        <v>5.3272891221631768</v>
      </c>
      <c r="AI70" s="62"/>
      <c r="AK70" s="21"/>
      <c r="AL70" s="87"/>
    </row>
    <row r="71" spans="2:38" s="3" customFormat="1" x14ac:dyDescent="0.3">
      <c r="B71" s="1"/>
      <c r="C71" s="1"/>
      <c r="D71" s="1"/>
      <c r="F71" s="1"/>
      <c r="I71" s="90">
        <v>23500</v>
      </c>
      <c r="J71" s="29">
        <f t="shared" si="40"/>
        <v>14.60225931127046</v>
      </c>
      <c r="K71" s="29">
        <f t="shared" si="4"/>
        <v>323.81970248673372</v>
      </c>
      <c r="L71" s="98">
        <v>268</v>
      </c>
      <c r="M71" s="58">
        <f t="shared" si="35"/>
        <v>0.1</v>
      </c>
      <c r="N71" s="44">
        <f t="shared" si="36"/>
        <v>-26.699999999999992</v>
      </c>
      <c r="O71" s="44">
        <f t="shared" si="37"/>
        <v>-71.340297513266194</v>
      </c>
      <c r="P71" s="54">
        <f t="shared" si="38"/>
        <v>-4.9200205181562895</v>
      </c>
      <c r="Q71" s="81">
        <f t="shared" si="31"/>
        <v>859.08596070438819</v>
      </c>
      <c r="R71" s="44">
        <f t="shared" si="9"/>
        <v>-26.699999999999992</v>
      </c>
      <c r="S71" s="65">
        <f t="shared" si="41"/>
        <v>463.92596070438827</v>
      </c>
      <c r="T71" s="44">
        <f t="shared" si="42"/>
        <v>463.92596070438827</v>
      </c>
      <c r="U71" s="64">
        <f t="shared" si="12"/>
        <v>31.99489384168195</v>
      </c>
      <c r="V71" s="65"/>
      <c r="W71" s="65"/>
      <c r="X71" s="65"/>
      <c r="Y71" s="65"/>
      <c r="Z71" s="44"/>
      <c r="AA71" s="81">
        <f t="shared" si="32"/>
        <v>683.87637168031631</v>
      </c>
      <c r="AB71" s="44">
        <f t="shared" si="43"/>
        <v>-26.699999999999992</v>
      </c>
      <c r="AC71" s="44">
        <f t="shared" si="44"/>
        <v>288.7163716803164</v>
      </c>
      <c r="AD71" s="64">
        <f t="shared" si="45"/>
        <v>19.91147390898734</v>
      </c>
      <c r="AE71" s="81">
        <f t="shared" si="33"/>
        <v>484.18755514683045</v>
      </c>
      <c r="AF71" s="82">
        <f t="shared" si="46"/>
        <v>-26.699999999999992</v>
      </c>
      <c r="AG71" s="44">
        <f t="shared" si="17"/>
        <v>89.027555146830537</v>
      </c>
      <c r="AH71" s="64">
        <f t="shared" si="18"/>
        <v>6.1398313894365888</v>
      </c>
      <c r="AI71" s="62"/>
      <c r="AK71" s="21"/>
      <c r="AL71" s="87"/>
    </row>
    <row r="72" spans="2:38" s="3" customFormat="1" x14ac:dyDescent="0.3">
      <c r="B72" s="1"/>
      <c r="C72" s="1"/>
      <c r="D72" s="1"/>
      <c r="F72" s="1"/>
      <c r="I72" s="90">
        <v>24000</v>
      </c>
      <c r="J72" s="29">
        <f t="shared" si="40"/>
        <v>14.912945679595364</v>
      </c>
      <c r="K72" s="29">
        <f t="shared" si="4"/>
        <v>330.70948339070674</v>
      </c>
      <c r="L72" s="97">
        <v>267</v>
      </c>
      <c r="M72" s="58">
        <f t="shared" si="35"/>
        <v>-0.1</v>
      </c>
      <c r="N72" s="44">
        <f t="shared" si="36"/>
        <v>-26.799999999999994</v>
      </c>
      <c r="O72" s="44">
        <f t="shared" si="37"/>
        <v>-65.930516609293193</v>
      </c>
      <c r="P72" s="54">
        <f t="shared" si="38"/>
        <v>-4.5469321799512548</v>
      </c>
      <c r="Q72" s="81">
        <f t="shared" si="31"/>
        <v>877.36438540022607</v>
      </c>
      <c r="R72" s="44">
        <f t="shared" si="9"/>
        <v>-26.799999999999994</v>
      </c>
      <c r="S72" s="65">
        <f t="shared" si="41"/>
        <v>480.72438540022614</v>
      </c>
      <c r="T72" s="44">
        <f t="shared" si="42"/>
        <v>480.72438540022614</v>
      </c>
      <c r="U72" s="64">
        <f t="shared" si="12"/>
        <v>33.153405889670765</v>
      </c>
      <c r="V72" s="65"/>
      <c r="W72" s="65"/>
      <c r="X72" s="65"/>
      <c r="Y72" s="65"/>
      <c r="Z72" s="44"/>
      <c r="AA72" s="81">
        <f t="shared" si="32"/>
        <v>698.42693277989736</v>
      </c>
      <c r="AB72" s="44">
        <f t="shared" si="43"/>
        <v>-26.799999999999994</v>
      </c>
      <c r="AC72" s="44">
        <f t="shared" si="44"/>
        <v>301.78693277989743</v>
      </c>
      <c r="AD72" s="64">
        <f t="shared" si="45"/>
        <v>20.812891915854994</v>
      </c>
      <c r="AE72" s="81">
        <f t="shared" si="33"/>
        <v>494.48941802229484</v>
      </c>
      <c r="AF72" s="82">
        <f t="shared" si="46"/>
        <v>-26.799999999999994</v>
      </c>
      <c r="AG72" s="44">
        <f t="shared" si="17"/>
        <v>97.849418022294913</v>
      </c>
      <c r="AH72" s="64">
        <f t="shared" si="18"/>
        <v>6.748235725675511</v>
      </c>
      <c r="AI72" s="62"/>
      <c r="AK72" s="21"/>
      <c r="AL72" s="87"/>
    </row>
    <row r="73" spans="2:38" s="3" customFormat="1" x14ac:dyDescent="0.3">
      <c r="B73" s="1"/>
      <c r="C73" s="1"/>
      <c r="D73" s="1"/>
      <c r="F73" s="1"/>
      <c r="I73" s="90">
        <v>24500</v>
      </c>
      <c r="J73" s="29">
        <f t="shared" si="40"/>
        <v>15.223632047920265</v>
      </c>
      <c r="K73" s="29">
        <f t="shared" si="4"/>
        <v>337.59926429467976</v>
      </c>
      <c r="L73" s="98">
        <v>264</v>
      </c>
      <c r="M73" s="58">
        <f t="shared" si="35"/>
        <v>-0.3</v>
      </c>
      <c r="N73" s="44">
        <f t="shared" si="36"/>
        <v>-27.099999999999994</v>
      </c>
      <c r="O73" s="44">
        <f t="shared" si="37"/>
        <v>-63.480735705320171</v>
      </c>
      <c r="P73" s="54">
        <f t="shared" si="38"/>
        <v>-4.3779817727807018</v>
      </c>
      <c r="Q73" s="81">
        <f t="shared" si="31"/>
        <v>895.64281009606418</v>
      </c>
      <c r="R73" s="44">
        <f t="shared" si="9"/>
        <v>-27.099999999999994</v>
      </c>
      <c r="S73" s="65">
        <f t="shared" si="41"/>
        <v>494.56281009606425</v>
      </c>
      <c r="T73" s="44">
        <f t="shared" si="42"/>
        <v>494.56281009606425</v>
      </c>
      <c r="U73" s="64">
        <f t="shared" si="12"/>
        <v>34.10778000662512</v>
      </c>
      <c r="V73" s="65"/>
      <c r="W73" s="65"/>
      <c r="X73" s="65"/>
      <c r="Y73" s="65"/>
      <c r="Z73" s="44"/>
      <c r="AA73" s="81">
        <f t="shared" si="32"/>
        <v>712.97749387947852</v>
      </c>
      <c r="AB73" s="44">
        <f t="shared" si="43"/>
        <v>-27.099999999999994</v>
      </c>
      <c r="AC73" s="44">
        <f t="shared" si="44"/>
        <v>311.89749387947859</v>
      </c>
      <c r="AD73" s="64">
        <f t="shared" si="45"/>
        <v>21.510171991688178</v>
      </c>
      <c r="AE73" s="81">
        <f t="shared" si="33"/>
        <v>504.79128089775929</v>
      </c>
      <c r="AF73" s="82">
        <f t="shared" si="46"/>
        <v>-27.099999999999994</v>
      </c>
      <c r="AG73" s="44">
        <f t="shared" si="17"/>
        <v>103.71128089775937</v>
      </c>
      <c r="AH73" s="64">
        <f t="shared" si="18"/>
        <v>7.1525021308799559</v>
      </c>
      <c r="AI73" s="62"/>
      <c r="AK73" s="21"/>
      <c r="AL73" s="87"/>
    </row>
    <row r="74" spans="2:38" s="3" customFormat="1" x14ac:dyDescent="0.3">
      <c r="B74" s="1"/>
      <c r="C74" s="1"/>
      <c r="D74" s="1"/>
      <c r="F74" s="1"/>
      <c r="I74" s="90">
        <v>25000</v>
      </c>
      <c r="J74" s="29">
        <f t="shared" si="40"/>
        <v>15.534318416245169</v>
      </c>
      <c r="K74" s="29">
        <f t="shared" si="4"/>
        <v>344.48904519865289</v>
      </c>
      <c r="L74" s="97">
        <v>266</v>
      </c>
      <c r="M74" s="58">
        <f t="shared" si="35"/>
        <v>0.2</v>
      </c>
      <c r="N74" s="44">
        <f t="shared" si="36"/>
        <v>-26.899999999999995</v>
      </c>
      <c r="O74" s="44">
        <f t="shared" si="37"/>
        <v>-53.630954801347059</v>
      </c>
      <c r="P74" s="54">
        <f t="shared" si="38"/>
        <v>-3.6986865380239351</v>
      </c>
      <c r="Q74" s="81">
        <f t="shared" si="31"/>
        <v>913.92123479190229</v>
      </c>
      <c r="R74" s="44">
        <f t="shared" si="9"/>
        <v>-26.899999999999995</v>
      </c>
      <c r="S74" s="65">
        <f t="shared" si="41"/>
        <v>515.80123479190229</v>
      </c>
      <c r="T74" s="44">
        <f t="shared" si="42"/>
        <v>515.80123479190229</v>
      </c>
      <c r="U74" s="64">
        <f t="shared" si="12"/>
        <v>35.572498951165677</v>
      </c>
      <c r="V74" s="65"/>
      <c r="W74" s="65"/>
      <c r="X74" s="65"/>
      <c r="Y74" s="65"/>
      <c r="Z74" s="44"/>
      <c r="AA74" s="81">
        <f t="shared" si="32"/>
        <v>727.52805497905979</v>
      </c>
      <c r="AB74" s="44">
        <f t="shared" si="43"/>
        <v>-26.899999999999995</v>
      </c>
      <c r="AC74" s="44">
        <f t="shared" si="44"/>
        <v>329.40805497905984</v>
      </c>
      <c r="AD74" s="64">
        <f t="shared" si="45"/>
        <v>22.717796895107575</v>
      </c>
      <c r="AE74" s="81">
        <f t="shared" si="33"/>
        <v>515.0931437732238</v>
      </c>
      <c r="AF74" s="82">
        <f t="shared" si="46"/>
        <v>-26.899999999999995</v>
      </c>
      <c r="AG74" s="44">
        <f t="shared" si="17"/>
        <v>116.97314377322385</v>
      </c>
      <c r="AH74" s="64">
        <f t="shared" si="18"/>
        <v>8.0671133636706109</v>
      </c>
      <c r="AI74" s="62"/>
      <c r="AK74" s="21"/>
      <c r="AL74" s="87"/>
    </row>
    <row r="75" spans="2:38" s="3" customFormat="1" x14ac:dyDescent="0.3">
      <c r="B75" s="1"/>
      <c r="C75" s="1"/>
      <c r="D75" s="1"/>
      <c r="F75" s="1"/>
      <c r="I75" s="90">
        <v>25500</v>
      </c>
      <c r="J75" s="29">
        <f t="shared" si="40"/>
        <v>15.845004784570072</v>
      </c>
      <c r="K75" s="29">
        <f t="shared" si="4"/>
        <v>351.37882610262591</v>
      </c>
      <c r="L75" s="98">
        <v>270</v>
      </c>
      <c r="M75" s="58">
        <f t="shared" si="35"/>
        <v>0.4</v>
      </c>
      <c r="N75" s="44">
        <f t="shared" si="36"/>
        <v>-26.499999999999996</v>
      </c>
      <c r="O75" s="44">
        <f t="shared" si="37"/>
        <v>-40.821173897374081</v>
      </c>
      <c r="P75" s="54">
        <f t="shared" si="38"/>
        <v>-2.8152533722326951</v>
      </c>
      <c r="Q75" s="81">
        <f t="shared" si="31"/>
        <v>932.19965948774029</v>
      </c>
      <c r="R75" s="44">
        <f t="shared" si="9"/>
        <v>-26.499999999999996</v>
      </c>
      <c r="S75" s="65">
        <f t="shared" si="41"/>
        <v>539.99965948774025</v>
      </c>
      <c r="T75" s="44">
        <f t="shared" si="42"/>
        <v>539.99965948774025</v>
      </c>
      <c r="U75" s="64">
        <f t="shared" si="12"/>
        <v>37.241355826740708</v>
      </c>
      <c r="V75" s="65">
        <v>0</v>
      </c>
      <c r="W75" s="44">
        <f t="shared" ref="W75:W85" si="47">+($V75/1609.34)*5280/(100)*$D$39</f>
        <v>0</v>
      </c>
      <c r="X75" s="65">
        <v>0</v>
      </c>
      <c r="Y75" s="44">
        <f t="shared" ref="Y75:Y85" si="48">+W75+X75*14.8</f>
        <v>0</v>
      </c>
      <c r="Z75" s="44"/>
      <c r="AA75" s="81">
        <f t="shared" si="32"/>
        <v>742.07861607864095</v>
      </c>
      <c r="AB75" s="44">
        <f t="shared" si="43"/>
        <v>-26.499999999999996</v>
      </c>
      <c r="AC75" s="44">
        <f t="shared" si="44"/>
        <v>349.87861607864096</v>
      </c>
      <c r="AD75" s="64">
        <f t="shared" si="45"/>
        <v>24.129559729561446</v>
      </c>
      <c r="AE75" s="81">
        <f t="shared" si="33"/>
        <v>525.39500664868831</v>
      </c>
      <c r="AF75" s="82">
        <f t="shared" si="46"/>
        <v>-26.499999999999996</v>
      </c>
      <c r="AG75" s="44">
        <f t="shared" si="17"/>
        <v>133.19500664868832</v>
      </c>
      <c r="AH75" s="64">
        <f t="shared" si="18"/>
        <v>9.1858625274957468</v>
      </c>
      <c r="AI75" s="62"/>
      <c r="AK75" s="21"/>
      <c r="AL75" s="87"/>
    </row>
    <row r="76" spans="2:38" s="3" customFormat="1" x14ac:dyDescent="0.3">
      <c r="B76" s="1"/>
      <c r="C76" s="1"/>
      <c r="D76" s="1"/>
      <c r="F76" s="1"/>
      <c r="I76" s="90">
        <v>26000</v>
      </c>
      <c r="J76" s="29">
        <f t="shared" si="40"/>
        <v>16.155691152894978</v>
      </c>
      <c r="K76" s="29">
        <f t="shared" si="4"/>
        <v>358.26860700659898</v>
      </c>
      <c r="L76" s="97">
        <v>268</v>
      </c>
      <c r="M76" s="58">
        <f t="shared" si="35"/>
        <v>-0.2</v>
      </c>
      <c r="N76" s="44">
        <f t="shared" si="36"/>
        <v>-26.699999999999996</v>
      </c>
      <c r="O76" s="44">
        <f t="shared" si="37"/>
        <v>-36.891392993400984</v>
      </c>
      <c r="P76" s="54">
        <f t="shared" si="38"/>
        <v>-2.5442339995448955</v>
      </c>
      <c r="Q76" s="81">
        <f t="shared" si="31"/>
        <v>950.4780841835784</v>
      </c>
      <c r="R76" s="44">
        <f t="shared" si="9"/>
        <v>-26.699999999999996</v>
      </c>
      <c r="S76" s="65">
        <f t="shared" si="41"/>
        <v>555.31808418357843</v>
      </c>
      <c r="T76" s="44">
        <f t="shared" si="42"/>
        <v>555.31808418357843</v>
      </c>
      <c r="U76" s="64">
        <f t="shared" si="12"/>
        <v>38.297798909212304</v>
      </c>
      <c r="V76" s="65">
        <v>100</v>
      </c>
      <c r="W76" s="44">
        <f t="shared" si="47"/>
        <v>1.2368797146656396</v>
      </c>
      <c r="X76" s="44">
        <f t="shared" ref="X76:X85" si="49">+X75+M76</f>
        <v>-0.2</v>
      </c>
      <c r="Y76" s="44">
        <f t="shared" si="48"/>
        <v>-1.7231202853343608</v>
      </c>
      <c r="Z76" s="44"/>
      <c r="AA76" s="81">
        <f t="shared" si="32"/>
        <v>756.62917717822222</v>
      </c>
      <c r="AB76" s="44">
        <f t="shared" si="43"/>
        <v>-26.699999999999996</v>
      </c>
      <c r="AC76" s="44">
        <f t="shared" si="44"/>
        <v>361.46917717822225</v>
      </c>
      <c r="AD76" s="64">
        <f t="shared" si="45"/>
        <v>24.928908770911878</v>
      </c>
      <c r="AE76" s="81">
        <f t="shared" si="33"/>
        <v>535.69686952415282</v>
      </c>
      <c r="AF76" s="82">
        <f t="shared" si="46"/>
        <v>-26.699999999999996</v>
      </c>
      <c r="AG76" s="44">
        <f t="shared" si="17"/>
        <v>140.53686952415285</v>
      </c>
      <c r="AH76" s="64">
        <f t="shared" si="18"/>
        <v>9.6921978982174384</v>
      </c>
      <c r="AI76" s="62"/>
      <c r="AK76" s="21"/>
      <c r="AL76" s="87"/>
    </row>
    <row r="77" spans="2:38" s="3" customFormat="1" x14ac:dyDescent="0.3">
      <c r="B77" s="1"/>
      <c r="C77" s="1"/>
      <c r="D77" s="1"/>
      <c r="F77" s="1"/>
      <c r="I77" s="90">
        <v>26500</v>
      </c>
      <c r="J77" s="29">
        <f t="shared" si="40"/>
        <v>16.466377521219879</v>
      </c>
      <c r="K77" s="29">
        <f t="shared" si="4"/>
        <v>365.15838791057206</v>
      </c>
      <c r="L77" s="98">
        <v>267</v>
      </c>
      <c r="M77" s="58">
        <f t="shared" si="35"/>
        <v>-0.1</v>
      </c>
      <c r="N77" s="44">
        <f t="shared" si="36"/>
        <v>-26.799999999999997</v>
      </c>
      <c r="O77" s="44">
        <f t="shared" si="37"/>
        <v>-31.481612089427927</v>
      </c>
      <c r="P77" s="54">
        <f t="shared" si="38"/>
        <v>-2.1711456613398572</v>
      </c>
      <c r="Q77" s="81">
        <f t="shared" si="31"/>
        <v>968.7565088794164</v>
      </c>
      <c r="R77" s="44">
        <f t="shared" si="9"/>
        <v>-26.799999999999997</v>
      </c>
      <c r="S77" s="65">
        <f t="shared" si="41"/>
        <v>572.11650887941641</v>
      </c>
      <c r="T77" s="44">
        <f t="shared" si="42"/>
        <v>572.11650887941641</v>
      </c>
      <c r="U77" s="64">
        <f t="shared" si="12"/>
        <v>39.456310957201133</v>
      </c>
      <c r="V77" s="65">
        <v>200</v>
      </c>
      <c r="W77" s="44">
        <f t="shared" si="47"/>
        <v>2.4737594293312792</v>
      </c>
      <c r="X77" s="44">
        <f t="shared" si="49"/>
        <v>-0.30000000000000004</v>
      </c>
      <c r="Y77" s="44">
        <f t="shared" si="48"/>
        <v>-1.966240570668722</v>
      </c>
      <c r="Z77" s="44"/>
      <c r="AA77" s="81">
        <f t="shared" si="32"/>
        <v>771.17973827780338</v>
      </c>
      <c r="AB77" s="44">
        <f t="shared" si="43"/>
        <v>-26.799999999999997</v>
      </c>
      <c r="AC77" s="44">
        <f t="shared" si="44"/>
        <v>374.53973827780339</v>
      </c>
      <c r="AD77" s="64">
        <f t="shared" si="45"/>
        <v>25.830326777779543</v>
      </c>
      <c r="AE77" s="81">
        <f t="shared" si="33"/>
        <v>545.99873239961721</v>
      </c>
      <c r="AF77" s="82">
        <f t="shared" si="46"/>
        <v>-26.799999999999997</v>
      </c>
      <c r="AG77" s="44">
        <f t="shared" si="17"/>
        <v>149.35873239961722</v>
      </c>
      <c r="AH77" s="64">
        <f t="shared" si="18"/>
        <v>10.30060223445636</v>
      </c>
      <c r="AI77" s="62"/>
      <c r="AK77" s="21"/>
      <c r="AL77" s="87"/>
    </row>
    <row r="78" spans="2:38" s="3" customFormat="1" x14ac:dyDescent="0.3">
      <c r="B78" s="1">
        <v>57.466666666666598</v>
      </c>
      <c r="C78" s="1">
        <f t="shared" ref="C78:C95" si="50">+B78*0.156*60*24</f>
        <v>12909.311999999984</v>
      </c>
      <c r="D78" s="5">
        <v>0.55289999999999995</v>
      </c>
      <c r="E78" s="10">
        <v>1.34335714285714</v>
      </c>
      <c r="F78" s="1">
        <v>80</v>
      </c>
      <c r="G78" s="1">
        <v>12</v>
      </c>
      <c r="H78" s="1"/>
      <c r="I78" s="90">
        <v>27000</v>
      </c>
      <c r="J78" s="29">
        <f t="shared" si="40"/>
        <v>16.777063889544785</v>
      </c>
      <c r="K78" s="29">
        <f t="shared" si="4"/>
        <v>372.04816881454514</v>
      </c>
      <c r="L78" s="97">
        <v>273</v>
      </c>
      <c r="M78" s="58">
        <f t="shared" si="35"/>
        <v>0.6</v>
      </c>
      <c r="N78" s="44">
        <f t="shared" si="36"/>
        <v>-26.199999999999996</v>
      </c>
      <c r="O78" s="44">
        <f t="shared" si="37"/>
        <v>-15.711831185454798</v>
      </c>
      <c r="P78" s="54">
        <f t="shared" si="38"/>
        <v>-1.0835745645141239</v>
      </c>
      <c r="Q78" s="81">
        <f t="shared" si="31"/>
        <v>987.03493357525451</v>
      </c>
      <c r="R78" s="44">
        <f t="shared" si="9"/>
        <v>-26.199999999999996</v>
      </c>
      <c r="S78" s="65">
        <f t="shared" si="41"/>
        <v>599.27493357525464</v>
      </c>
      <c r="T78" s="44">
        <f t="shared" si="42"/>
        <v>599.27493357525464</v>
      </c>
      <c r="U78" s="64">
        <f t="shared" si="12"/>
        <v>41.329305763810666</v>
      </c>
      <c r="V78" s="65">
        <v>300</v>
      </c>
      <c r="W78" s="44">
        <f t="shared" si="47"/>
        <v>3.710639143996918</v>
      </c>
      <c r="X78" s="44">
        <f t="shared" si="49"/>
        <v>0.29999999999999993</v>
      </c>
      <c r="Y78" s="44">
        <f t="shared" si="48"/>
        <v>8.1506391439969175</v>
      </c>
      <c r="Z78" s="44"/>
      <c r="AA78" s="81">
        <f t="shared" si="32"/>
        <v>785.73029937738465</v>
      </c>
      <c r="AB78" s="44">
        <f t="shared" si="43"/>
        <v>-26.199999999999996</v>
      </c>
      <c r="AC78" s="44">
        <f t="shared" si="44"/>
        <v>397.97029937738472</v>
      </c>
      <c r="AD78" s="64">
        <f t="shared" si="45"/>
        <v>27.446227543267913</v>
      </c>
      <c r="AE78" s="81">
        <f t="shared" si="33"/>
        <v>556.30059527508183</v>
      </c>
      <c r="AF78" s="82">
        <f t="shared" si="46"/>
        <v>-26.199999999999996</v>
      </c>
      <c r="AG78" s="44">
        <f t="shared" si="17"/>
        <v>168.5405952750819</v>
      </c>
      <c r="AH78" s="64">
        <f t="shared" si="18"/>
        <v>11.623489329315992</v>
      </c>
      <c r="AI78" s="62"/>
      <c r="AK78" s="21"/>
      <c r="AL78" s="87"/>
    </row>
    <row r="79" spans="2:38" s="3" customFormat="1" x14ac:dyDescent="0.3">
      <c r="B79" s="1">
        <v>59.786147186147097</v>
      </c>
      <c r="C79" s="1">
        <f t="shared" si="50"/>
        <v>13430.360103896084</v>
      </c>
      <c r="D79" s="5">
        <v>0.58244935064935</v>
      </c>
      <c r="E79" s="10">
        <v>1.41576623376623</v>
      </c>
      <c r="F79" s="1">
        <v>90</v>
      </c>
      <c r="G79" s="1">
        <v>14</v>
      </c>
      <c r="H79" s="1"/>
      <c r="I79" s="90">
        <v>27500</v>
      </c>
      <c r="J79" s="29">
        <f t="shared" si="40"/>
        <v>17.087750257869686</v>
      </c>
      <c r="K79" s="29">
        <f t="shared" si="4"/>
        <v>378.93794971851815</v>
      </c>
      <c r="L79" s="98">
        <v>280</v>
      </c>
      <c r="M79" s="58">
        <f t="shared" si="35"/>
        <v>0.7</v>
      </c>
      <c r="N79" s="44">
        <f t="shared" si="36"/>
        <v>-25.499999999999996</v>
      </c>
      <c r="O79" s="44">
        <f t="shared" si="37"/>
        <v>1.5379497185181776</v>
      </c>
      <c r="P79" s="54">
        <f t="shared" si="38"/>
        <v>0.10606549782883984</v>
      </c>
      <c r="Q79" s="81">
        <f t="shared" si="31"/>
        <v>1005.3133582710926</v>
      </c>
      <c r="R79" s="44">
        <f t="shared" ref="R79:R95" si="51">+N79</f>
        <v>-25.499999999999996</v>
      </c>
      <c r="S79" s="65">
        <f t="shared" si="41"/>
        <v>627.91335827109265</v>
      </c>
      <c r="T79" s="44">
        <f t="shared" si="42"/>
        <v>627.91335827109265</v>
      </c>
      <c r="U79" s="64">
        <f t="shared" si="12"/>
        <v>43.304369535937425</v>
      </c>
      <c r="V79" s="65">
        <v>400</v>
      </c>
      <c r="W79" s="44">
        <f t="shared" si="47"/>
        <v>4.9475188586625585</v>
      </c>
      <c r="X79" s="44">
        <f t="shared" si="49"/>
        <v>0.99999999999999989</v>
      </c>
      <c r="Y79" s="44">
        <f t="shared" si="48"/>
        <v>19.747518858662559</v>
      </c>
      <c r="Z79" s="44"/>
      <c r="AA79" s="81">
        <f t="shared" si="32"/>
        <v>800.28086047696581</v>
      </c>
      <c r="AB79" s="44">
        <f t="shared" si="43"/>
        <v>-25.499999999999996</v>
      </c>
      <c r="AC79" s="44">
        <f t="shared" si="44"/>
        <v>422.88086047696584</v>
      </c>
      <c r="AD79" s="64">
        <f t="shared" si="45"/>
        <v>29.164197274273505</v>
      </c>
      <c r="AE79" s="81">
        <f t="shared" si="33"/>
        <v>566.60245815054623</v>
      </c>
      <c r="AF79" s="82">
        <f t="shared" si="46"/>
        <v>-25.499999999999996</v>
      </c>
      <c r="AG79" s="44">
        <f t="shared" ref="AG79:AG95" si="52">+AE79+AF79*14.8</f>
        <v>189.20245815054625</v>
      </c>
      <c r="AH79" s="64">
        <f t="shared" si="18"/>
        <v>13.048445389692844</v>
      </c>
      <c r="AI79" s="62"/>
      <c r="AK79" s="21"/>
      <c r="AL79" s="87"/>
    </row>
    <row r="80" spans="2:38" s="3" customFormat="1" x14ac:dyDescent="0.3">
      <c r="B80" s="1">
        <v>62.105627705627803</v>
      </c>
      <c r="C80" s="1">
        <f t="shared" si="50"/>
        <v>13951.408207792228</v>
      </c>
      <c r="D80" s="5">
        <v>0.61199870129870104</v>
      </c>
      <c r="E80" s="10">
        <v>1.48817532467532</v>
      </c>
      <c r="F80" s="1"/>
      <c r="I80" s="90">
        <v>28000</v>
      </c>
      <c r="J80" s="29">
        <f t="shared" si="40"/>
        <v>17.398436626194592</v>
      </c>
      <c r="K80" s="29">
        <f t="shared" si="4"/>
        <v>385.82773062249129</v>
      </c>
      <c r="L80" s="97">
        <v>288</v>
      </c>
      <c r="M80" s="58">
        <f t="shared" si="35"/>
        <v>0.8</v>
      </c>
      <c r="N80" s="44">
        <f t="shared" si="36"/>
        <v>-24.699999999999996</v>
      </c>
      <c r="O80" s="44">
        <f t="shared" si="37"/>
        <v>20.267730622491342</v>
      </c>
      <c r="P80" s="54">
        <f t="shared" si="38"/>
        <v>1.3977745256890581</v>
      </c>
      <c r="Q80" s="81">
        <f t="shared" si="31"/>
        <v>1023.5917829669307</v>
      </c>
      <c r="R80" s="44">
        <f t="shared" si="51"/>
        <v>-24.699999999999996</v>
      </c>
      <c r="S80" s="65">
        <f t="shared" si="41"/>
        <v>658.03178296693079</v>
      </c>
      <c r="T80" s="44">
        <f t="shared" si="42"/>
        <v>658.03178296693079</v>
      </c>
      <c r="U80" s="64">
        <f t="shared" si="12"/>
        <v>45.381502273581432</v>
      </c>
      <c r="V80" s="65">
        <v>500</v>
      </c>
      <c r="W80" s="44">
        <f t="shared" si="47"/>
        <v>6.1843985733281972</v>
      </c>
      <c r="X80" s="44">
        <f t="shared" si="49"/>
        <v>1.7999999999999998</v>
      </c>
      <c r="Y80" s="44">
        <f t="shared" si="48"/>
        <v>32.824398573328196</v>
      </c>
      <c r="Z80" s="44"/>
      <c r="AA80" s="81">
        <f t="shared" si="32"/>
        <v>814.83142157654709</v>
      </c>
      <c r="AB80" s="44">
        <f t="shared" si="43"/>
        <v>-24.699999999999996</v>
      </c>
      <c r="AC80" s="44">
        <f t="shared" si="44"/>
        <v>449.27142157654714</v>
      </c>
      <c r="AD80" s="64">
        <f t="shared" si="45"/>
        <v>30.984235970796355</v>
      </c>
      <c r="AE80" s="81">
        <f t="shared" si="33"/>
        <v>576.90432102601073</v>
      </c>
      <c r="AF80" s="82">
        <f t="shared" si="46"/>
        <v>-24.699999999999996</v>
      </c>
      <c r="AG80" s="44">
        <f t="shared" si="52"/>
        <v>211.34432102601079</v>
      </c>
      <c r="AH80" s="64">
        <f t="shared" si="18"/>
        <v>14.575470415586951</v>
      </c>
      <c r="AI80" s="62"/>
      <c r="AK80" s="21"/>
      <c r="AL80" s="87"/>
    </row>
    <row r="81" spans="2:38" s="3" customFormat="1" x14ac:dyDescent="0.3">
      <c r="B81" s="1">
        <v>64.425108225108303</v>
      </c>
      <c r="C81" s="1">
        <f t="shared" si="50"/>
        <v>14472.456311688329</v>
      </c>
      <c r="D81" s="5">
        <v>0.64154805194805098</v>
      </c>
      <c r="E81" s="10">
        <v>1.56058441558441</v>
      </c>
      <c r="F81" s="1"/>
      <c r="I81" s="90">
        <v>28500</v>
      </c>
      <c r="J81" s="29">
        <f t="shared" si="40"/>
        <v>17.709122994519493</v>
      </c>
      <c r="K81" s="29">
        <f t="shared" si="4"/>
        <v>392.71751152646419</v>
      </c>
      <c r="L81" s="98">
        <v>288</v>
      </c>
      <c r="M81" s="58">
        <f t="shared" si="35"/>
        <v>0</v>
      </c>
      <c r="N81" s="44">
        <f t="shared" si="36"/>
        <v>-24.699999999999996</v>
      </c>
      <c r="O81" s="44">
        <f t="shared" si="37"/>
        <v>27.157511526464248</v>
      </c>
      <c r="P81" s="54">
        <f t="shared" si="38"/>
        <v>1.8729318294113275</v>
      </c>
      <c r="Q81" s="81">
        <f t="shared" si="31"/>
        <v>1041.8702076627685</v>
      </c>
      <c r="R81" s="44">
        <f t="shared" si="51"/>
        <v>-24.699999999999996</v>
      </c>
      <c r="S81" s="65">
        <f t="shared" si="41"/>
        <v>676.31020766276856</v>
      </c>
      <c r="T81" s="44">
        <f t="shared" si="42"/>
        <v>676.31020766276856</v>
      </c>
      <c r="U81" s="64">
        <f t="shared" si="12"/>
        <v>46.642083287087488</v>
      </c>
      <c r="V81" s="65">
        <v>600</v>
      </c>
      <c r="W81" s="44">
        <f t="shared" si="47"/>
        <v>7.4212782879938359</v>
      </c>
      <c r="X81" s="44">
        <f t="shared" si="49"/>
        <v>1.7999999999999998</v>
      </c>
      <c r="Y81" s="44">
        <f t="shared" si="48"/>
        <v>34.061278287993829</v>
      </c>
      <c r="Z81" s="44"/>
      <c r="AA81" s="81">
        <f t="shared" si="32"/>
        <v>829.38198267612802</v>
      </c>
      <c r="AB81" s="44">
        <f t="shared" si="43"/>
        <v>-24.699999999999996</v>
      </c>
      <c r="AC81" s="44">
        <f t="shared" si="44"/>
        <v>463.82198267612807</v>
      </c>
      <c r="AD81" s="64">
        <f t="shared" si="45"/>
        <v>31.987722943181247</v>
      </c>
      <c r="AE81" s="81">
        <f t="shared" si="33"/>
        <v>587.20618390147513</v>
      </c>
      <c r="AF81" s="82">
        <f t="shared" si="46"/>
        <v>-24.699999999999996</v>
      </c>
      <c r="AG81" s="44">
        <f t="shared" si="52"/>
        <v>221.64618390147518</v>
      </c>
      <c r="AH81" s="64">
        <f t="shared" si="18"/>
        <v>15.285943717343116</v>
      </c>
      <c r="AI81" s="62"/>
      <c r="AK81" s="21"/>
      <c r="AL81" s="87"/>
    </row>
    <row r="82" spans="2:38" s="3" customFormat="1" x14ac:dyDescent="0.3">
      <c r="B82" s="1">
        <v>66.744588744588796</v>
      </c>
      <c r="C82" s="1">
        <f t="shared" si="50"/>
        <v>14993.50441558443</v>
      </c>
      <c r="D82" s="5">
        <v>0.67109740259740203</v>
      </c>
      <c r="E82" s="10">
        <v>1.6329935064934999</v>
      </c>
      <c r="F82" s="1"/>
      <c r="I82" s="90">
        <v>29000</v>
      </c>
      <c r="J82" s="29">
        <f t="shared" si="40"/>
        <v>18.019809362844398</v>
      </c>
      <c r="K82" s="29">
        <f t="shared" si="4"/>
        <v>399.60729243043738</v>
      </c>
      <c r="L82" s="97">
        <v>288</v>
      </c>
      <c r="M82" s="58">
        <f t="shared" si="35"/>
        <v>0</v>
      </c>
      <c r="N82" s="44">
        <f t="shared" si="36"/>
        <v>-24.699999999999996</v>
      </c>
      <c r="O82" s="44">
        <f t="shared" si="37"/>
        <v>34.047292430437437</v>
      </c>
      <c r="P82" s="54">
        <f t="shared" si="38"/>
        <v>2.3480891331336164</v>
      </c>
      <c r="Q82" s="81">
        <f t="shared" si="31"/>
        <v>1060.1486323586066</v>
      </c>
      <c r="R82" s="44">
        <f t="shared" si="51"/>
        <v>-24.699999999999996</v>
      </c>
      <c r="S82" s="65">
        <f t="shared" si="41"/>
        <v>694.58863235860667</v>
      </c>
      <c r="T82" s="44">
        <f t="shared" si="42"/>
        <v>694.58863235860667</v>
      </c>
      <c r="U82" s="64">
        <f t="shared" si="12"/>
        <v>47.902664300593564</v>
      </c>
      <c r="V82" s="65">
        <v>700</v>
      </c>
      <c r="W82" s="44">
        <f t="shared" si="47"/>
        <v>8.6581580026594764</v>
      </c>
      <c r="X82" s="44">
        <f t="shared" si="49"/>
        <v>1.7999999999999998</v>
      </c>
      <c r="Y82" s="44">
        <f t="shared" si="48"/>
        <v>35.298158002659477</v>
      </c>
      <c r="Z82" s="44"/>
      <c r="AA82" s="81">
        <f t="shared" si="32"/>
        <v>843.93254377570941</v>
      </c>
      <c r="AB82" s="44">
        <f t="shared" si="43"/>
        <v>-24.699999999999996</v>
      </c>
      <c r="AC82" s="44">
        <f t="shared" si="44"/>
        <v>478.37254377570946</v>
      </c>
      <c r="AD82" s="64">
        <f t="shared" si="45"/>
        <v>32.991209915566166</v>
      </c>
      <c r="AE82" s="81">
        <f t="shared" si="33"/>
        <v>597.50804677693964</v>
      </c>
      <c r="AF82" s="82">
        <f t="shared" si="46"/>
        <v>-24.699999999999996</v>
      </c>
      <c r="AG82" s="44">
        <f t="shared" si="52"/>
        <v>231.94804677693969</v>
      </c>
      <c r="AH82" s="64">
        <f t="shared" si="18"/>
        <v>15.996417019099288</v>
      </c>
      <c r="AI82" s="62"/>
      <c r="AK82" s="21"/>
      <c r="AL82" s="87"/>
    </row>
    <row r="83" spans="2:38" s="3" customFormat="1" x14ac:dyDescent="0.3">
      <c r="B83" s="1">
        <v>69.064069264069303</v>
      </c>
      <c r="C83" s="1">
        <f t="shared" si="50"/>
        <v>15514.552519480527</v>
      </c>
      <c r="D83" s="5">
        <v>0.70064675324675296</v>
      </c>
      <c r="E83" s="10">
        <v>1.7054025974025899</v>
      </c>
      <c r="F83" s="1"/>
      <c r="I83" s="90">
        <v>29500</v>
      </c>
      <c r="J83" s="29">
        <f t="shared" si="40"/>
        <v>18.3304957311693</v>
      </c>
      <c r="K83" s="29">
        <f t="shared" si="4"/>
        <v>406.49707333441035</v>
      </c>
      <c r="L83" s="98">
        <v>296</v>
      </c>
      <c r="M83" s="58">
        <f t="shared" si="35"/>
        <v>0.8</v>
      </c>
      <c r="N83" s="44">
        <f t="shared" si="36"/>
        <v>-23.899999999999995</v>
      </c>
      <c r="O83" s="44">
        <f t="shared" si="37"/>
        <v>52.777073334410375</v>
      </c>
      <c r="P83" s="54">
        <f t="shared" si="38"/>
        <v>3.639798160993819</v>
      </c>
      <c r="Q83" s="81">
        <f t="shared" si="31"/>
        <v>1078.4270570544445</v>
      </c>
      <c r="R83" s="44">
        <f t="shared" si="51"/>
        <v>-23.899999999999995</v>
      </c>
      <c r="S83" s="65">
        <f t="shared" si="41"/>
        <v>724.70705705444448</v>
      </c>
      <c r="T83" s="44">
        <f t="shared" si="42"/>
        <v>724.70705705444448</v>
      </c>
      <c r="U83" s="64">
        <f t="shared" si="12"/>
        <v>49.97979703823755</v>
      </c>
      <c r="V83" s="65">
        <v>800</v>
      </c>
      <c r="W83" s="44">
        <f t="shared" si="47"/>
        <v>9.8950377173251169</v>
      </c>
      <c r="X83" s="44">
        <f t="shared" si="49"/>
        <v>2.5999999999999996</v>
      </c>
      <c r="Y83" s="44">
        <f t="shared" si="48"/>
        <v>48.375037717325114</v>
      </c>
      <c r="Z83" s="44"/>
      <c r="AA83" s="81">
        <f t="shared" si="32"/>
        <v>858.48310487529045</v>
      </c>
      <c r="AB83" s="44">
        <f t="shared" si="43"/>
        <v>-23.899999999999995</v>
      </c>
      <c r="AC83" s="44">
        <f t="shared" si="44"/>
        <v>504.76310487529048</v>
      </c>
      <c r="AD83" s="64">
        <f t="shared" si="45"/>
        <v>34.811248612088995</v>
      </c>
      <c r="AE83" s="81">
        <f t="shared" si="33"/>
        <v>607.80990965240403</v>
      </c>
      <c r="AF83" s="82">
        <f t="shared" si="46"/>
        <v>-23.899999999999995</v>
      </c>
      <c r="AG83" s="44">
        <f t="shared" si="52"/>
        <v>254.08990965240406</v>
      </c>
      <c r="AH83" s="64">
        <f t="shared" si="18"/>
        <v>17.523442044993384</v>
      </c>
      <c r="AI83" s="62"/>
      <c r="AK83" s="21"/>
      <c r="AL83" s="87"/>
    </row>
    <row r="84" spans="2:38" s="3" customFormat="1" x14ac:dyDescent="0.3">
      <c r="B84" s="1">
        <v>71.383549783549796</v>
      </c>
      <c r="C84" s="1">
        <f t="shared" si="50"/>
        <v>16035.600623376627</v>
      </c>
      <c r="D84" s="5">
        <v>0.73019610389610301</v>
      </c>
      <c r="E84" s="10">
        <v>1.7778116883116799</v>
      </c>
      <c r="F84" s="1"/>
      <c r="I84" s="90">
        <v>30000</v>
      </c>
      <c r="J84" s="29">
        <f t="shared" si="40"/>
        <v>18.641182099494202</v>
      </c>
      <c r="K84" s="29">
        <f t="shared" si="4"/>
        <v>413.38685423838342</v>
      </c>
      <c r="L84" s="97">
        <v>299</v>
      </c>
      <c r="M84" s="58">
        <f t="shared" si="35"/>
        <v>0.3</v>
      </c>
      <c r="N84" s="44">
        <f t="shared" si="36"/>
        <v>-23.599999999999994</v>
      </c>
      <c r="O84" s="44">
        <f t="shared" si="37"/>
        <v>64.106854238383505</v>
      </c>
      <c r="P84" s="54">
        <f t="shared" si="38"/>
        <v>4.4211623612678279</v>
      </c>
      <c r="Q84" s="81">
        <f t="shared" si="31"/>
        <v>1096.7054817502826</v>
      </c>
      <c r="R84" s="44">
        <f t="shared" si="51"/>
        <v>-23.599999999999994</v>
      </c>
      <c r="S84" s="65">
        <f t="shared" si="41"/>
        <v>747.42548175028264</v>
      </c>
      <c r="T84" s="44">
        <f t="shared" si="42"/>
        <v>747.42548175028264</v>
      </c>
      <c r="U84" s="64">
        <f t="shared" si="12"/>
        <v>51.546584948295354</v>
      </c>
      <c r="V84" s="65">
        <v>900</v>
      </c>
      <c r="W84" s="44">
        <f t="shared" si="47"/>
        <v>11.131917431990754</v>
      </c>
      <c r="X84" s="44">
        <f t="shared" si="49"/>
        <v>2.8999999999999995</v>
      </c>
      <c r="Y84" s="44">
        <f t="shared" si="48"/>
        <v>54.051917431990745</v>
      </c>
      <c r="Z84" s="44"/>
      <c r="AA84" s="81">
        <f t="shared" si="32"/>
        <v>873.03366597487161</v>
      </c>
      <c r="AB84" s="44">
        <f t="shared" si="43"/>
        <v>-23.599999999999994</v>
      </c>
      <c r="AC84" s="44">
        <f t="shared" si="44"/>
        <v>523.75366597487164</v>
      </c>
      <c r="AD84" s="64">
        <f t="shared" si="45"/>
        <v>36.120942481025629</v>
      </c>
      <c r="AE84" s="81">
        <f t="shared" si="33"/>
        <v>618.11177252786854</v>
      </c>
      <c r="AF84" s="82">
        <f t="shared" si="46"/>
        <v>-23.599999999999994</v>
      </c>
      <c r="AG84" s="44">
        <f t="shared" si="52"/>
        <v>268.83177252786862</v>
      </c>
      <c r="AH84" s="64">
        <f t="shared" si="18"/>
        <v>18.540122243301283</v>
      </c>
      <c r="AI84" s="62"/>
      <c r="AK84" s="21"/>
      <c r="AL84" s="87"/>
    </row>
    <row r="85" spans="2:38" s="3" customFormat="1" x14ac:dyDescent="0.3">
      <c r="B85" s="1">
        <v>73.703030303030303</v>
      </c>
      <c r="C85" s="1">
        <f t="shared" si="50"/>
        <v>16556.648727272728</v>
      </c>
      <c r="D85" s="5">
        <v>0.75974545454545395</v>
      </c>
      <c r="E85" s="10">
        <v>1.8502207792207801</v>
      </c>
      <c r="F85" s="1"/>
      <c r="I85" s="90">
        <v>30500</v>
      </c>
      <c r="J85" s="29">
        <f t="shared" si="40"/>
        <v>18.951868467819107</v>
      </c>
      <c r="K85" s="29">
        <f t="shared" si="4"/>
        <v>420.2766351423565</v>
      </c>
      <c r="L85" s="98">
        <v>304</v>
      </c>
      <c r="M85" s="58">
        <f t="shared" si="35"/>
        <v>0.5</v>
      </c>
      <c r="N85" s="44">
        <f t="shared" si="36"/>
        <v>-23.099999999999994</v>
      </c>
      <c r="O85" s="44">
        <f t="shared" si="37"/>
        <v>78.396635142356558</v>
      </c>
      <c r="P85" s="54">
        <f t="shared" si="38"/>
        <v>5.4066644925763141</v>
      </c>
      <c r="Q85" s="81">
        <f t="shared" si="31"/>
        <v>1114.9839064461207</v>
      </c>
      <c r="R85" s="44">
        <f t="shared" si="51"/>
        <v>-23.099999999999994</v>
      </c>
      <c r="S85" s="65">
        <f t="shared" si="41"/>
        <v>773.10390644612085</v>
      </c>
      <c r="T85" s="44">
        <f t="shared" si="42"/>
        <v>773.10390644612085</v>
      </c>
      <c r="U85" s="64">
        <f t="shared" si="12"/>
        <v>53.317510789387647</v>
      </c>
      <c r="V85" s="65">
        <v>1000</v>
      </c>
      <c r="W85" s="44">
        <f t="shared" si="47"/>
        <v>12.368797146656394</v>
      </c>
      <c r="X85" s="44">
        <f t="shared" si="49"/>
        <v>3.3999999999999995</v>
      </c>
      <c r="Y85" s="44">
        <f t="shared" si="48"/>
        <v>62.688797146656384</v>
      </c>
      <c r="Z85" s="44"/>
      <c r="AA85" s="81">
        <f t="shared" si="32"/>
        <v>887.58422707445288</v>
      </c>
      <c r="AB85" s="44">
        <f t="shared" si="43"/>
        <v>-23.099999999999994</v>
      </c>
      <c r="AC85" s="44">
        <f t="shared" si="44"/>
        <v>545.704227074453</v>
      </c>
      <c r="AD85" s="64">
        <f t="shared" si="45"/>
        <v>37.634774280996758</v>
      </c>
      <c r="AE85" s="81">
        <f t="shared" si="33"/>
        <v>628.41363540333305</v>
      </c>
      <c r="AF85" s="82">
        <f t="shared" si="46"/>
        <v>-23.099999999999994</v>
      </c>
      <c r="AG85" s="44">
        <f t="shared" si="52"/>
        <v>286.53363540333311</v>
      </c>
      <c r="AH85" s="64">
        <f t="shared" si="18"/>
        <v>19.760940372643663</v>
      </c>
      <c r="AI85" s="62"/>
      <c r="AK85" s="21"/>
      <c r="AL85" s="87"/>
    </row>
    <row r="86" spans="2:38" s="3" customFormat="1" x14ac:dyDescent="0.3">
      <c r="B86" s="1">
        <v>76.022510822510895</v>
      </c>
      <c r="C86" s="1">
        <f t="shared" si="50"/>
        <v>17077.696831168847</v>
      </c>
      <c r="D86" s="5">
        <v>0.78929480519480499</v>
      </c>
      <c r="E86" s="10">
        <v>1.9226298701298701</v>
      </c>
      <c r="F86" s="1"/>
      <c r="I86" s="90">
        <v>31000</v>
      </c>
      <c r="J86" s="29">
        <f t="shared" si="40"/>
        <v>19.262554836144009</v>
      </c>
      <c r="K86" s="29">
        <f t="shared" si="4"/>
        <v>427.16641604632952</v>
      </c>
      <c r="L86" s="97">
        <v>310</v>
      </c>
      <c r="M86" s="58">
        <f t="shared" si="35"/>
        <v>0.6</v>
      </c>
      <c r="N86" s="44">
        <f t="shared" si="36"/>
        <v>-22.499999999999993</v>
      </c>
      <c r="O86" s="44">
        <f t="shared" si="37"/>
        <v>94.16641604632963</v>
      </c>
      <c r="P86" s="54">
        <f t="shared" si="38"/>
        <v>6.4942355894020434</v>
      </c>
      <c r="Q86" s="81">
        <f t="shared" si="31"/>
        <v>1133.2623311419588</v>
      </c>
      <c r="R86" s="44">
        <f t="shared" si="51"/>
        <v>-22.499999999999993</v>
      </c>
      <c r="S86" s="65"/>
      <c r="T86" s="44">
        <f t="shared" si="42"/>
        <v>800.26233114195895</v>
      </c>
      <c r="U86" s="64">
        <f t="shared" si="12"/>
        <v>55.190505595997166</v>
      </c>
      <c r="V86" s="65">
        <v>1100</v>
      </c>
      <c r="W86" s="44">
        <f t="shared" ref="W86:W117" si="53">+($V86/1609.34)*5280/(100)*$D$39</f>
        <v>13.605676861322033</v>
      </c>
      <c r="X86" s="44">
        <f>+X85+M86</f>
        <v>3.9999999999999996</v>
      </c>
      <c r="Y86" s="44">
        <f>+W86+X86*14.8</f>
        <v>72.805676861322027</v>
      </c>
      <c r="Z86" s="44"/>
      <c r="AA86" s="81">
        <f t="shared" si="32"/>
        <v>902.13478817403404</v>
      </c>
      <c r="AB86" s="44">
        <f t="shared" si="43"/>
        <v>-22.499999999999993</v>
      </c>
      <c r="AC86" s="44">
        <f t="shared" si="44"/>
        <v>569.13478817403416</v>
      </c>
      <c r="AD86" s="64">
        <f t="shared" si="45"/>
        <v>39.250675046485114</v>
      </c>
      <c r="AE86" s="81">
        <f t="shared" si="33"/>
        <v>638.71549827879755</v>
      </c>
      <c r="AF86" s="82">
        <f t="shared" si="46"/>
        <v>-22.499999999999993</v>
      </c>
      <c r="AG86" s="44">
        <f t="shared" si="52"/>
        <v>305.71549827879767</v>
      </c>
      <c r="AH86" s="64">
        <f t="shared" si="18"/>
        <v>21.083827467503287</v>
      </c>
      <c r="AI86" s="72"/>
      <c r="AK86" s="21"/>
      <c r="AL86" s="87"/>
    </row>
    <row r="87" spans="2:38" s="3" customFormat="1" x14ac:dyDescent="0.3">
      <c r="B87" s="1">
        <v>78.341991341991303</v>
      </c>
      <c r="C87" s="1">
        <f t="shared" si="50"/>
        <v>17598.744935064926</v>
      </c>
      <c r="D87" s="5">
        <v>0.81884415584415504</v>
      </c>
      <c r="E87" s="10">
        <v>1.9950389610389601</v>
      </c>
      <c r="F87" s="1"/>
      <c r="I87" s="90">
        <v>31500</v>
      </c>
      <c r="J87" s="29">
        <f t="shared" si="40"/>
        <v>19.573241204468914</v>
      </c>
      <c r="K87" s="29">
        <f t="shared" si="4"/>
        <v>434.05619695030265</v>
      </c>
      <c r="L87" s="98">
        <v>311</v>
      </c>
      <c r="M87" s="58">
        <f t="shared" si="35"/>
        <v>0.1</v>
      </c>
      <c r="N87" s="44">
        <f t="shared" si="36"/>
        <v>-22.399999999999991</v>
      </c>
      <c r="O87" s="44">
        <f t="shared" si="37"/>
        <v>102.53619695030278</v>
      </c>
      <c r="P87" s="54">
        <f t="shared" si="38"/>
        <v>7.0714618586415714</v>
      </c>
      <c r="Q87" s="81">
        <f t="shared" si="31"/>
        <v>1151.540755837797</v>
      </c>
      <c r="R87" s="44">
        <f t="shared" si="51"/>
        <v>-22.399999999999991</v>
      </c>
      <c r="S87" s="65"/>
      <c r="T87" s="44">
        <f t="shared" si="42"/>
        <v>820.02075583779708</v>
      </c>
      <c r="U87" s="64">
        <f t="shared" si="12"/>
        <v>56.55315557502049</v>
      </c>
      <c r="V87" s="65">
        <v>1200</v>
      </c>
      <c r="W87" s="44">
        <f t="shared" si="53"/>
        <v>14.842556575987672</v>
      </c>
      <c r="X87" s="44">
        <f t="shared" ref="X87:X118" si="54">+X86+M87</f>
        <v>4.0999999999999996</v>
      </c>
      <c r="Y87" s="44">
        <f t="shared" ref="Y87:Y118" si="55">+W87+X87*14.8</f>
        <v>75.522556575987664</v>
      </c>
      <c r="Z87" s="44"/>
      <c r="AA87" s="81">
        <f t="shared" si="32"/>
        <v>916.68534927361543</v>
      </c>
      <c r="AB87" s="44">
        <f t="shared" si="43"/>
        <v>-22.399999999999991</v>
      </c>
      <c r="AC87" s="44">
        <f t="shared" si="44"/>
        <v>585.16534927361556</v>
      </c>
      <c r="AD87" s="64">
        <f t="shared" si="45"/>
        <v>40.356230984387281</v>
      </c>
      <c r="AE87" s="81">
        <f t="shared" si="33"/>
        <v>649.01736115426206</v>
      </c>
      <c r="AF87" s="82">
        <f t="shared" si="46"/>
        <v>-22.399999999999991</v>
      </c>
      <c r="AG87" s="44">
        <f t="shared" si="52"/>
        <v>317.49736115426219</v>
      </c>
      <c r="AH87" s="64">
        <f t="shared" si="18"/>
        <v>21.896369734776702</v>
      </c>
      <c r="AI87" s="62"/>
      <c r="AK87" s="21"/>
      <c r="AL87" s="87"/>
    </row>
    <row r="88" spans="2:38" s="3" customFormat="1" x14ac:dyDescent="0.3">
      <c r="B88" s="1">
        <v>80.661471861471895</v>
      </c>
      <c r="C88" s="1">
        <f t="shared" si="50"/>
        <v>18119.793038961048</v>
      </c>
      <c r="D88" s="5">
        <v>0.84839350649350598</v>
      </c>
      <c r="E88" s="10">
        <v>2.06744805194805</v>
      </c>
      <c r="F88" s="1"/>
      <c r="I88" s="100">
        <v>32000</v>
      </c>
      <c r="J88" s="101">
        <f t="shared" si="40"/>
        <v>19.883927572793816</v>
      </c>
      <c r="K88" s="101">
        <f t="shared" si="4"/>
        <v>440.94597785427567</v>
      </c>
      <c r="L88" s="102">
        <v>318</v>
      </c>
      <c r="M88" s="59">
        <f t="shared" si="35"/>
        <v>0.7</v>
      </c>
      <c r="N88" s="59">
        <f t="shared" si="36"/>
        <v>-21.699999999999992</v>
      </c>
      <c r="O88" s="59">
        <f t="shared" si="37"/>
        <v>119.78597785427576</v>
      </c>
      <c r="P88" s="99">
        <f t="shared" si="38"/>
        <v>8.2611019209845349</v>
      </c>
      <c r="Q88" s="103">
        <f t="shared" si="31"/>
        <v>1169.8191805336348</v>
      </c>
      <c r="R88" s="59">
        <f t="shared" si="51"/>
        <v>-21.699999999999992</v>
      </c>
      <c r="S88" s="59"/>
      <c r="T88" s="59">
        <f t="shared" si="42"/>
        <v>848.65918053363498</v>
      </c>
      <c r="U88" s="63">
        <f t="shared" si="12"/>
        <v>58.528219347147243</v>
      </c>
      <c r="V88" s="59">
        <v>1300</v>
      </c>
      <c r="W88" s="59">
        <f t="shared" si="53"/>
        <v>16.079436290653309</v>
      </c>
      <c r="X88" s="59">
        <f t="shared" si="54"/>
        <v>4.8</v>
      </c>
      <c r="Y88" s="59">
        <f t="shared" si="55"/>
        <v>87.119436290653312</v>
      </c>
      <c r="Z88" s="59"/>
      <c r="AA88" s="103">
        <f t="shared" si="32"/>
        <v>931.23591037319648</v>
      </c>
      <c r="AB88" s="59">
        <f t="shared" si="43"/>
        <v>-21.699999999999992</v>
      </c>
      <c r="AC88" s="59">
        <f t="shared" si="44"/>
        <v>610.07591037319662</v>
      </c>
      <c r="AD88" s="63">
        <f t="shared" si="45"/>
        <v>42.07420071539287</v>
      </c>
      <c r="AE88" s="103">
        <f t="shared" si="33"/>
        <v>659.31922402972646</v>
      </c>
      <c r="AF88" s="104">
        <f t="shared" si="46"/>
        <v>-21.699999999999992</v>
      </c>
      <c r="AG88" s="59">
        <f t="shared" si="52"/>
        <v>338.15922402972654</v>
      </c>
      <c r="AH88" s="63">
        <f t="shared" si="18"/>
        <v>23.321325795153555</v>
      </c>
      <c r="AI88" s="105"/>
      <c r="AJ88" s="106"/>
      <c r="AK88" s="107"/>
      <c r="AL88" s="108" t="s">
        <v>63</v>
      </c>
    </row>
    <row r="89" spans="2:38" s="3" customFormat="1" x14ac:dyDescent="0.3">
      <c r="B89" s="1">
        <v>82.980952380952303</v>
      </c>
      <c r="C89" s="1">
        <f t="shared" si="50"/>
        <v>18640.841142857123</v>
      </c>
      <c r="D89" s="5">
        <v>0.87794285714285702</v>
      </c>
      <c r="E89" s="10">
        <v>2.13985714285714</v>
      </c>
      <c r="F89" s="1"/>
      <c r="I89" s="90">
        <v>32500</v>
      </c>
      <c r="J89" s="29">
        <f t="shared" si="40"/>
        <v>20.194613941118721</v>
      </c>
      <c r="K89" s="29">
        <f t="shared" ref="K89:K118" si="56">+($I89/1609.34)*5280/(100)*$D$43</f>
        <v>447.83575875824874</v>
      </c>
      <c r="L89" s="98">
        <v>325</v>
      </c>
      <c r="M89" s="58">
        <f t="shared" si="35"/>
        <v>0.7</v>
      </c>
      <c r="N89" s="44">
        <f t="shared" si="36"/>
        <v>-20.999999999999993</v>
      </c>
      <c r="O89" s="44">
        <f t="shared" si="37"/>
        <v>137.03575875824885</v>
      </c>
      <c r="P89" s="54">
        <f t="shared" si="38"/>
        <v>9.4507419833275073</v>
      </c>
      <c r="Q89" s="81">
        <f t="shared" si="31"/>
        <v>1188.0976052294729</v>
      </c>
      <c r="R89" s="44">
        <f t="shared" si="51"/>
        <v>-20.999999999999993</v>
      </c>
      <c r="S89" s="65"/>
      <c r="T89" s="44">
        <f t="shared" si="42"/>
        <v>877.29760522947299</v>
      </c>
      <c r="U89" s="64">
        <f t="shared" si="12"/>
        <v>60.503283119274002</v>
      </c>
      <c r="V89" s="65">
        <v>1400</v>
      </c>
      <c r="W89" s="44">
        <f t="shared" si="53"/>
        <v>17.316316005318953</v>
      </c>
      <c r="X89" s="44">
        <f t="shared" si="54"/>
        <v>5.5</v>
      </c>
      <c r="Y89" s="44">
        <f t="shared" si="55"/>
        <v>98.716316005318959</v>
      </c>
      <c r="Z89" s="44"/>
      <c r="AA89" s="83">
        <f t="shared" si="32"/>
        <v>945.78647147277775</v>
      </c>
      <c r="AB89" s="44">
        <f t="shared" si="43"/>
        <v>-20.999999999999993</v>
      </c>
      <c r="AC89" s="44">
        <f t="shared" si="44"/>
        <v>634.98647147277779</v>
      </c>
      <c r="AD89" s="64">
        <f t="shared" si="45"/>
        <v>43.792170446398465</v>
      </c>
      <c r="AE89" s="81">
        <f t="shared" si="33"/>
        <v>669.62108690519108</v>
      </c>
      <c r="AF89" s="82">
        <f t="shared" si="46"/>
        <v>-20.999999999999993</v>
      </c>
      <c r="AG89" s="44">
        <f t="shared" si="52"/>
        <v>358.82108690519118</v>
      </c>
      <c r="AH89" s="64">
        <f t="shared" si="18"/>
        <v>24.746281855530427</v>
      </c>
      <c r="AI89" s="62"/>
      <c r="AK89" s="21"/>
      <c r="AL89" s="87"/>
    </row>
    <row r="90" spans="2:38" s="3" customFormat="1" x14ac:dyDescent="0.3">
      <c r="B90" s="1">
        <v>85.300432900432995</v>
      </c>
      <c r="C90" s="1">
        <f t="shared" si="50"/>
        <v>19161.889246753268</v>
      </c>
      <c r="D90" s="5">
        <v>0.90749220779220696</v>
      </c>
      <c r="E90" s="10">
        <v>2.21226623376623</v>
      </c>
      <c r="F90" s="1"/>
      <c r="I90" s="90">
        <v>33000</v>
      </c>
      <c r="J90" s="29">
        <f t="shared" si="40"/>
        <v>20.505300309443623</v>
      </c>
      <c r="K90" s="29">
        <f t="shared" si="56"/>
        <v>454.72553966222176</v>
      </c>
      <c r="L90" s="97">
        <v>335</v>
      </c>
      <c r="M90" s="58">
        <f t="shared" si="35"/>
        <v>1</v>
      </c>
      <c r="N90" s="44">
        <f t="shared" si="36"/>
        <v>-19.999999999999993</v>
      </c>
      <c r="O90" s="44">
        <f t="shared" si="37"/>
        <v>158.72553966222188</v>
      </c>
      <c r="P90" s="54">
        <f t="shared" si="38"/>
        <v>10.946588942222199</v>
      </c>
      <c r="Q90" s="81">
        <f t="shared" si="31"/>
        <v>1206.3760299253108</v>
      </c>
      <c r="R90" s="44">
        <f t="shared" si="51"/>
        <v>-19.999999999999993</v>
      </c>
      <c r="S90" s="65"/>
      <c r="T90" s="44">
        <f t="shared" ref="T90:T118" si="57">+Q90+R90*14.8</f>
        <v>910.37602992531095</v>
      </c>
      <c r="U90" s="64">
        <f t="shared" ref="U90:U95" si="58">+T90/14.5</f>
        <v>62.784553787952476</v>
      </c>
      <c r="V90" s="65">
        <v>1500</v>
      </c>
      <c r="W90" s="44">
        <f t="shared" si="53"/>
        <v>18.55319571998459</v>
      </c>
      <c r="X90" s="44">
        <f t="shared" si="54"/>
        <v>6.5</v>
      </c>
      <c r="Y90" s="44">
        <f t="shared" si="55"/>
        <v>114.75319571998459</v>
      </c>
      <c r="Z90" s="44"/>
      <c r="AA90" s="81">
        <f t="shared" ref="AA90:AA118" si="59">+($I90/1609.34)*5280/(100)*$D$45</f>
        <v>960.33703257235879</v>
      </c>
      <c r="AB90" s="44">
        <f t="shared" ref="AB90:AB118" si="60">+N90</f>
        <v>-19.999999999999993</v>
      </c>
      <c r="AC90" s="44">
        <f t="shared" ref="AC90:AC95" si="61">+AA90+AB90*14.8</f>
        <v>664.33703257235891</v>
      </c>
      <c r="AD90" s="64">
        <f t="shared" ref="AD90:AD118" si="62">+AC90/14.5</f>
        <v>45.816347073955789</v>
      </c>
      <c r="AE90" s="81">
        <f t="shared" ref="AE90:AE118" si="63">+($I90/1609.34)*5280/(100)*$D$44</f>
        <v>679.92294978065536</v>
      </c>
      <c r="AF90" s="82">
        <f t="shared" ref="AF90:AF118" si="64">+N90</f>
        <v>-19.999999999999993</v>
      </c>
      <c r="AG90" s="44">
        <f t="shared" si="52"/>
        <v>383.92294978065547</v>
      </c>
      <c r="AH90" s="64">
        <f t="shared" ref="AH90:AH95" si="65">+AG90/14.5</f>
        <v>26.477444812458998</v>
      </c>
      <c r="AI90" s="62"/>
      <c r="AK90" s="21"/>
      <c r="AL90" s="87"/>
    </row>
    <row r="91" spans="2:38" s="3" customFormat="1" x14ac:dyDescent="0.3">
      <c r="B91" s="19">
        <v>87.619913419913402</v>
      </c>
      <c r="C91" s="1">
        <f t="shared" si="50"/>
        <v>19682.93735064935</v>
      </c>
      <c r="D91" s="5">
        <v>0.93704155844155601</v>
      </c>
      <c r="E91" s="28">
        <v>2.28467532467532</v>
      </c>
      <c r="F91" s="1"/>
      <c r="I91" s="90">
        <v>33500</v>
      </c>
      <c r="J91" s="29">
        <f t="shared" si="40"/>
        <v>20.815986677768528</v>
      </c>
      <c r="K91" s="29">
        <f t="shared" si="56"/>
        <v>461.61532056619484</v>
      </c>
      <c r="L91" s="98">
        <v>347</v>
      </c>
      <c r="M91" s="58">
        <f t="shared" si="35"/>
        <v>1.2</v>
      </c>
      <c r="N91" s="44">
        <f t="shared" si="36"/>
        <v>-18.799999999999994</v>
      </c>
      <c r="O91" s="44">
        <f t="shared" si="37"/>
        <v>183.37532056619494</v>
      </c>
      <c r="P91" s="54">
        <f t="shared" si="38"/>
        <v>12.646573832151375</v>
      </c>
      <c r="Q91" s="81">
        <f t="shared" ref="Q91:Q118" si="66">+($I91/1609.34)*5280/(100)*$D$47</f>
        <v>1224.6544546211492</v>
      </c>
      <c r="R91" s="44">
        <f t="shared" si="51"/>
        <v>-18.799999999999994</v>
      </c>
      <c r="S91" s="65"/>
      <c r="T91" s="44">
        <f t="shared" si="57"/>
        <v>946.41445462114928</v>
      </c>
      <c r="U91" s="64">
        <f t="shared" si="58"/>
        <v>65.269962387665473</v>
      </c>
      <c r="V91" s="65">
        <v>1600</v>
      </c>
      <c r="W91" s="44">
        <f t="shared" si="53"/>
        <v>19.790075434650234</v>
      </c>
      <c r="X91" s="44">
        <f t="shared" si="54"/>
        <v>7.7</v>
      </c>
      <c r="Y91" s="44">
        <f t="shared" si="55"/>
        <v>133.75007543465023</v>
      </c>
      <c r="Z91" s="44"/>
      <c r="AA91" s="81">
        <f t="shared" si="59"/>
        <v>974.88759367194007</v>
      </c>
      <c r="AB91" s="44">
        <f t="shared" si="60"/>
        <v>-18.799999999999994</v>
      </c>
      <c r="AC91" s="44">
        <f t="shared" si="61"/>
        <v>696.64759367194017</v>
      </c>
      <c r="AD91" s="64">
        <f t="shared" si="62"/>
        <v>48.044661632547601</v>
      </c>
      <c r="AE91" s="81">
        <f t="shared" si="63"/>
        <v>690.22481265611998</v>
      </c>
      <c r="AF91" s="82">
        <f t="shared" si="64"/>
        <v>-18.799999999999994</v>
      </c>
      <c r="AG91" s="44">
        <f t="shared" si="52"/>
        <v>411.98481265612008</v>
      </c>
      <c r="AH91" s="64">
        <f t="shared" si="65"/>
        <v>28.412745700422075</v>
      </c>
      <c r="AI91" s="62"/>
      <c r="AK91" s="21"/>
      <c r="AL91" s="87"/>
    </row>
    <row r="92" spans="2:38" s="3" customFormat="1" x14ac:dyDescent="0.3">
      <c r="B92" s="1">
        <v>89.939393939393995</v>
      </c>
      <c r="C92" s="1">
        <f t="shared" si="50"/>
        <v>20203.985454545465</v>
      </c>
      <c r="D92" s="5">
        <v>0.96659090909090695</v>
      </c>
      <c r="E92" s="10">
        <v>2.35708441558441</v>
      </c>
      <c r="F92" s="1"/>
      <c r="I92" s="90">
        <v>34000</v>
      </c>
      <c r="J92" s="29">
        <f t="shared" si="40"/>
        <v>21.12667304609343</v>
      </c>
      <c r="K92" s="29">
        <f t="shared" si="56"/>
        <v>468.50510147016786</v>
      </c>
      <c r="L92" s="97">
        <v>350</v>
      </c>
      <c r="M92" s="58">
        <f t="shared" si="35"/>
        <v>0.3</v>
      </c>
      <c r="N92" s="44">
        <f t="shared" si="36"/>
        <v>-18.499999999999993</v>
      </c>
      <c r="O92" s="44">
        <f t="shared" si="37"/>
        <v>194.70510147016796</v>
      </c>
      <c r="P92" s="54">
        <f t="shared" si="38"/>
        <v>13.427938032425377</v>
      </c>
      <c r="Q92" s="81">
        <f t="shared" si="66"/>
        <v>1242.9328793169871</v>
      </c>
      <c r="R92" s="44">
        <f t="shared" si="51"/>
        <v>-18.499999999999993</v>
      </c>
      <c r="S92" s="46"/>
      <c r="T92" s="59">
        <f t="shared" si="57"/>
        <v>969.1328793169871</v>
      </c>
      <c r="U92" s="63">
        <f t="shared" si="58"/>
        <v>66.836750297723242</v>
      </c>
      <c r="V92" s="65">
        <v>1700</v>
      </c>
      <c r="W92" s="44">
        <f t="shared" si="53"/>
        <v>21.026955149315871</v>
      </c>
      <c r="X92" s="44">
        <f t="shared" si="54"/>
        <v>8</v>
      </c>
      <c r="Y92" s="44">
        <f t="shared" si="55"/>
        <v>139.42695514931589</v>
      </c>
      <c r="Z92" s="44"/>
      <c r="AA92" s="81">
        <f t="shared" si="59"/>
        <v>989.43815477152123</v>
      </c>
      <c r="AB92" s="44">
        <f t="shared" si="60"/>
        <v>-18.499999999999993</v>
      </c>
      <c r="AC92" s="44">
        <f t="shared" si="61"/>
        <v>715.63815477152139</v>
      </c>
      <c r="AD92" s="64">
        <f t="shared" si="62"/>
        <v>49.354355501484235</v>
      </c>
      <c r="AE92" s="81">
        <f t="shared" si="63"/>
        <v>700.52667553158437</v>
      </c>
      <c r="AF92" s="82">
        <f t="shared" si="64"/>
        <v>-18.499999999999993</v>
      </c>
      <c r="AG92" s="44">
        <f t="shared" si="52"/>
        <v>426.72667553158448</v>
      </c>
      <c r="AH92" s="64">
        <f t="shared" si="65"/>
        <v>29.429425898729964</v>
      </c>
      <c r="AI92" s="72"/>
      <c r="AK92" s="21"/>
      <c r="AL92" s="87"/>
    </row>
    <row r="93" spans="2:38" s="3" customFormat="1" x14ac:dyDescent="0.3">
      <c r="B93" s="1">
        <v>92.258874458874402</v>
      </c>
      <c r="C93" s="1">
        <f t="shared" si="50"/>
        <v>20725.033558441544</v>
      </c>
      <c r="D93" s="5">
        <v>0.996140259740256</v>
      </c>
      <c r="E93" s="10">
        <v>2.4294935064934999</v>
      </c>
      <c r="F93" s="1"/>
      <c r="I93" s="90">
        <v>34500</v>
      </c>
      <c r="J93" s="29">
        <f t="shared" si="40"/>
        <v>21.437359414418335</v>
      </c>
      <c r="K93" s="29">
        <f t="shared" si="56"/>
        <v>475.39488237414093</v>
      </c>
      <c r="L93" s="98">
        <v>356</v>
      </c>
      <c r="M93" s="58">
        <f t="shared" si="35"/>
        <v>0.6</v>
      </c>
      <c r="N93" s="44">
        <f t="shared" si="36"/>
        <v>-17.899999999999991</v>
      </c>
      <c r="O93" s="44">
        <f t="shared" si="37"/>
        <v>210.47488237414103</v>
      </c>
      <c r="P93" s="54">
        <f t="shared" si="38"/>
        <v>14.515509129251106</v>
      </c>
      <c r="Q93" s="81">
        <f t="shared" si="66"/>
        <v>1261.2113040128252</v>
      </c>
      <c r="R93" s="44">
        <f t="shared" si="51"/>
        <v>-17.899999999999991</v>
      </c>
      <c r="S93" s="44"/>
      <c r="T93" s="44">
        <f t="shared" si="57"/>
        <v>996.29130401282532</v>
      </c>
      <c r="U93" s="64">
        <f t="shared" si="58"/>
        <v>68.709745104332782</v>
      </c>
      <c r="V93" s="65">
        <v>1800</v>
      </c>
      <c r="W93" s="44">
        <f t="shared" si="53"/>
        <v>22.263834863981508</v>
      </c>
      <c r="X93" s="44">
        <f t="shared" si="54"/>
        <v>8.6</v>
      </c>
      <c r="Y93" s="44">
        <f t="shared" si="55"/>
        <v>149.54383486398152</v>
      </c>
      <c r="Z93" s="44"/>
      <c r="AA93" s="81">
        <f t="shared" si="59"/>
        <v>1003.9887158711025</v>
      </c>
      <c r="AB93" s="44">
        <f t="shared" si="60"/>
        <v>-17.899999999999991</v>
      </c>
      <c r="AC93" s="61">
        <f t="shared" si="61"/>
        <v>739.06871587110254</v>
      </c>
      <c r="AD93" s="64">
        <f t="shared" si="62"/>
        <v>50.970256266972591</v>
      </c>
      <c r="AE93" s="81">
        <f t="shared" si="63"/>
        <v>710.82853840704888</v>
      </c>
      <c r="AF93" s="82">
        <f t="shared" si="64"/>
        <v>-17.899999999999991</v>
      </c>
      <c r="AG93" s="44">
        <f t="shared" si="52"/>
        <v>445.90853840704898</v>
      </c>
      <c r="AH93" s="64">
        <f t="shared" si="65"/>
        <v>30.752312993589584</v>
      </c>
      <c r="AI93" s="62"/>
      <c r="AK93" s="21"/>
      <c r="AL93" s="87"/>
    </row>
    <row r="94" spans="2:38" s="3" customFormat="1" x14ac:dyDescent="0.3">
      <c r="B94" s="1">
        <v>94.578354978354994</v>
      </c>
      <c r="C94" s="1">
        <f t="shared" si="50"/>
        <v>21246.081662337667</v>
      </c>
      <c r="D94" s="5">
        <v>1.02568961038961</v>
      </c>
      <c r="E94" s="10">
        <v>2.5019025974025899</v>
      </c>
      <c r="F94" s="1"/>
      <c r="I94" s="90">
        <v>35000</v>
      </c>
      <c r="J94" s="29">
        <f t="shared" si="40"/>
        <v>21.748045782743237</v>
      </c>
      <c r="K94" s="29">
        <f t="shared" si="56"/>
        <v>482.28466327811401</v>
      </c>
      <c r="L94" s="97">
        <v>360</v>
      </c>
      <c r="M94" s="58">
        <f t="shared" si="35"/>
        <v>0.4</v>
      </c>
      <c r="N94" s="44">
        <f t="shared" si="36"/>
        <v>-17.499999999999993</v>
      </c>
      <c r="O94" s="44">
        <f t="shared" si="37"/>
        <v>223.28466327811412</v>
      </c>
      <c r="P94" s="54">
        <f t="shared" si="38"/>
        <v>15.398942295042353</v>
      </c>
      <c r="Q94" s="81">
        <f t="shared" si="66"/>
        <v>1279.4897287086633</v>
      </c>
      <c r="R94" s="44">
        <f t="shared" si="51"/>
        <v>-17.499999999999993</v>
      </c>
      <c r="S94" s="44"/>
      <c r="T94" s="44">
        <f t="shared" si="57"/>
        <v>1020.4897287086634</v>
      </c>
      <c r="U94" s="64">
        <f t="shared" si="58"/>
        <v>70.378601979907813</v>
      </c>
      <c r="V94" s="65">
        <v>1900</v>
      </c>
      <c r="W94" s="44">
        <f t="shared" si="53"/>
        <v>23.500714578647148</v>
      </c>
      <c r="X94" s="44">
        <f t="shared" si="54"/>
        <v>9</v>
      </c>
      <c r="Y94" s="44">
        <f t="shared" si="55"/>
        <v>156.70071457864717</v>
      </c>
      <c r="Z94" s="44"/>
      <c r="AA94" s="81">
        <f t="shared" si="59"/>
        <v>1018.5392769706838</v>
      </c>
      <c r="AB94" s="44">
        <f t="shared" si="60"/>
        <v>-17.499999999999993</v>
      </c>
      <c r="AC94" s="61">
        <f t="shared" si="61"/>
        <v>759.53927697068389</v>
      </c>
      <c r="AD94" s="64">
        <f t="shared" si="62"/>
        <v>52.382019101426472</v>
      </c>
      <c r="AE94" s="81">
        <f t="shared" si="63"/>
        <v>721.13040128251339</v>
      </c>
      <c r="AF94" s="82">
        <f t="shared" si="64"/>
        <v>-17.499999999999993</v>
      </c>
      <c r="AG94" s="44">
        <f t="shared" si="52"/>
        <v>462.1304012825135</v>
      </c>
      <c r="AH94" s="64">
        <f t="shared" si="65"/>
        <v>31.871062157414723</v>
      </c>
      <c r="AI94" s="62"/>
      <c r="AK94" s="21"/>
      <c r="AL94" s="87"/>
    </row>
    <row r="95" spans="2:38" s="3" customFormat="1" x14ac:dyDescent="0.3">
      <c r="B95" s="1">
        <v>96.897835497835501</v>
      </c>
      <c r="C95" s="1">
        <f t="shared" si="50"/>
        <v>21767.129766233767</v>
      </c>
      <c r="D95" s="5">
        <v>1.0552389610389601</v>
      </c>
      <c r="E95" s="10">
        <v>2.5743116883116799</v>
      </c>
      <c r="F95" s="1"/>
      <c r="H95" s="17" t="s">
        <v>61</v>
      </c>
      <c r="I95" s="100">
        <v>35500</v>
      </c>
      <c r="J95" s="101">
        <f t="shared" si="40"/>
        <v>22.058732151068142</v>
      </c>
      <c r="K95" s="101">
        <f t="shared" si="56"/>
        <v>489.17444418208714</v>
      </c>
      <c r="L95" s="109">
        <v>370</v>
      </c>
      <c r="M95" s="59">
        <f t="shared" si="35"/>
        <v>1</v>
      </c>
      <c r="N95" s="59">
        <f t="shared" si="36"/>
        <v>-16.499999999999993</v>
      </c>
      <c r="O95" s="59">
        <f t="shared" si="37"/>
        <v>244.97444418208724</v>
      </c>
      <c r="P95" s="99">
        <f t="shared" si="38"/>
        <v>16.894789253937052</v>
      </c>
      <c r="Q95" s="103">
        <f t="shared" si="66"/>
        <v>1297.7681534045014</v>
      </c>
      <c r="R95" s="59">
        <f t="shared" si="51"/>
        <v>-16.499999999999993</v>
      </c>
      <c r="S95" s="59"/>
      <c r="T95" s="59">
        <f t="shared" si="57"/>
        <v>1053.5681534045016</v>
      </c>
      <c r="U95" s="63">
        <f t="shared" si="58"/>
        <v>72.659872648586315</v>
      </c>
      <c r="V95" s="59">
        <v>2000</v>
      </c>
      <c r="W95" s="59">
        <f t="shared" si="53"/>
        <v>24.737594293312789</v>
      </c>
      <c r="X95" s="59">
        <f t="shared" si="54"/>
        <v>10</v>
      </c>
      <c r="Y95" s="59">
        <f t="shared" si="55"/>
        <v>172.73759429331278</v>
      </c>
      <c r="Z95" s="59"/>
      <c r="AA95" s="103">
        <f t="shared" si="59"/>
        <v>1033.0898380702649</v>
      </c>
      <c r="AB95" s="59">
        <f t="shared" si="60"/>
        <v>-16.499999999999993</v>
      </c>
      <c r="AC95" s="99">
        <f t="shared" si="61"/>
        <v>788.889838070265</v>
      </c>
      <c r="AD95" s="63">
        <f t="shared" si="62"/>
        <v>54.406195728983796</v>
      </c>
      <c r="AE95" s="103">
        <f t="shared" si="63"/>
        <v>731.4322641579779</v>
      </c>
      <c r="AF95" s="104">
        <f t="shared" si="64"/>
        <v>-16.499999999999993</v>
      </c>
      <c r="AG95" s="59">
        <f t="shared" si="52"/>
        <v>487.23226415797797</v>
      </c>
      <c r="AH95" s="63">
        <f t="shared" si="65"/>
        <v>33.602225114343305</v>
      </c>
      <c r="AI95" s="105"/>
      <c r="AJ95" s="106"/>
      <c r="AK95" s="107"/>
      <c r="AL95" s="108" t="s">
        <v>64</v>
      </c>
    </row>
    <row r="96" spans="2:38" s="3" customFormat="1" x14ac:dyDescent="0.3">
      <c r="B96" s="1"/>
      <c r="C96" s="1"/>
      <c r="D96" s="1"/>
      <c r="F96" s="1"/>
      <c r="I96" s="90">
        <v>36000</v>
      </c>
      <c r="J96" s="29">
        <f t="shared" si="40"/>
        <v>22.369418519393044</v>
      </c>
      <c r="K96" s="29">
        <f t="shared" si="56"/>
        <v>496.06422508606011</v>
      </c>
      <c r="L96" s="97">
        <v>370</v>
      </c>
      <c r="M96" s="58">
        <f t="shared" si="35"/>
        <v>0</v>
      </c>
      <c r="N96" s="44">
        <f t="shared" si="36"/>
        <v>-16.499999999999993</v>
      </c>
      <c r="O96" s="44">
        <f t="shared" si="37"/>
        <v>251.8642250860602</v>
      </c>
      <c r="P96" s="54">
        <f t="shared" si="38"/>
        <v>17.369946557659325</v>
      </c>
      <c r="Q96" s="81">
        <f t="shared" si="66"/>
        <v>1316.0465781003393</v>
      </c>
      <c r="R96" s="44">
        <f t="shared" ref="R96" si="67">+N96</f>
        <v>-16.499999999999993</v>
      </c>
      <c r="S96" s="44"/>
      <c r="T96" s="44">
        <f t="shared" si="57"/>
        <v>1071.8465781003395</v>
      </c>
      <c r="U96" s="64">
        <f t="shared" ref="U96" si="68">+T96/14.5</f>
        <v>73.92045366209237</v>
      </c>
      <c r="V96" s="65">
        <v>2100</v>
      </c>
      <c r="W96" s="44">
        <f t="shared" si="53"/>
        <v>25.974474007978433</v>
      </c>
      <c r="X96" s="44">
        <f t="shared" si="54"/>
        <v>10</v>
      </c>
      <c r="Y96" s="44">
        <f t="shared" si="55"/>
        <v>173.97447400797844</v>
      </c>
      <c r="Z96" s="44"/>
      <c r="AA96" s="81">
        <f t="shared" si="59"/>
        <v>1047.640399169846</v>
      </c>
      <c r="AB96" s="44">
        <f t="shared" si="60"/>
        <v>-16.499999999999993</v>
      </c>
      <c r="AC96" s="61">
        <f t="shared" ref="AC96" si="69">+AA96+AB96*14.8</f>
        <v>803.44039916984605</v>
      </c>
      <c r="AD96" s="64">
        <f t="shared" si="62"/>
        <v>55.409682701368695</v>
      </c>
      <c r="AE96" s="81">
        <f t="shared" si="63"/>
        <v>741.73412703344229</v>
      </c>
      <c r="AF96" s="82">
        <f t="shared" si="64"/>
        <v>-16.499999999999993</v>
      </c>
      <c r="AG96" s="44">
        <f t="shared" ref="AG96" si="70">+AE96+AF96*14.8</f>
        <v>497.53412703344236</v>
      </c>
      <c r="AH96" s="64">
        <f t="shared" ref="AH96" si="71">+AG96/14.5</f>
        <v>34.312698416099472</v>
      </c>
      <c r="AK96" s="21"/>
      <c r="AL96" s="87"/>
    </row>
    <row r="97" spans="2:38" s="3" customFormat="1" x14ac:dyDescent="0.3">
      <c r="B97" s="1"/>
      <c r="C97" s="1"/>
      <c r="D97" s="1"/>
      <c r="F97" s="1"/>
      <c r="I97" s="90">
        <v>36500</v>
      </c>
      <c r="J97" s="29">
        <f t="shared" si="40"/>
        <v>22.680104887717949</v>
      </c>
      <c r="K97" s="29">
        <f t="shared" si="56"/>
        <v>502.95400599003318</v>
      </c>
      <c r="L97" s="98">
        <v>377</v>
      </c>
      <c r="M97" s="58">
        <f t="shared" si="35"/>
        <v>0.7</v>
      </c>
      <c r="N97" s="44">
        <f t="shared" si="36"/>
        <v>-15.799999999999994</v>
      </c>
      <c r="O97" s="44">
        <f t="shared" si="37"/>
        <v>269.11400599003326</v>
      </c>
      <c r="P97" s="54">
        <f t="shared" si="38"/>
        <v>18.559586620002293</v>
      </c>
      <c r="Q97" s="81">
        <f t="shared" si="66"/>
        <v>1334.3250027961774</v>
      </c>
      <c r="R97" s="44">
        <f t="shared" ref="R97:R118" si="72">+N97</f>
        <v>-15.799999999999994</v>
      </c>
      <c r="S97" s="44"/>
      <c r="T97" s="44">
        <f t="shared" si="57"/>
        <v>1100.4850027961775</v>
      </c>
      <c r="U97" s="64">
        <f t="shared" ref="U97:U118" si="73">+T97/14.5</f>
        <v>75.89551743421913</v>
      </c>
      <c r="V97" s="65">
        <v>2200</v>
      </c>
      <c r="W97" s="44">
        <f t="shared" si="53"/>
        <v>27.211353722644066</v>
      </c>
      <c r="X97" s="44">
        <f t="shared" si="54"/>
        <v>10.7</v>
      </c>
      <c r="Y97" s="44">
        <f t="shared" si="55"/>
        <v>185.57135372264406</v>
      </c>
      <c r="Z97" s="44"/>
      <c r="AA97" s="81">
        <f t="shared" si="59"/>
        <v>1062.1909602694273</v>
      </c>
      <c r="AB97" s="44">
        <f t="shared" si="60"/>
        <v>-15.799999999999994</v>
      </c>
      <c r="AC97" s="61">
        <f t="shared" ref="AC97:AC118" si="74">+AA97+AB97*14.8</f>
        <v>828.35096026942733</v>
      </c>
      <c r="AD97" s="64">
        <f t="shared" si="62"/>
        <v>57.127652432374298</v>
      </c>
      <c r="AE97" s="81">
        <f t="shared" si="63"/>
        <v>752.0359899089068</v>
      </c>
      <c r="AF97" s="82">
        <f t="shared" si="64"/>
        <v>-15.799999999999994</v>
      </c>
      <c r="AG97" s="44">
        <f t="shared" ref="AG97:AG118" si="75">+AE97+AF97*14.8</f>
        <v>518.19598990890688</v>
      </c>
      <c r="AH97" s="64">
        <f t="shared" ref="AH97:AH118" si="76">+AG97/14.5</f>
        <v>35.737654476476337</v>
      </c>
      <c r="AK97" s="21"/>
      <c r="AL97" s="87"/>
    </row>
    <row r="98" spans="2:38" s="3" customFormat="1" x14ac:dyDescent="0.3">
      <c r="B98" s="1"/>
      <c r="C98" s="1"/>
      <c r="D98" s="1"/>
      <c r="F98" s="1"/>
      <c r="I98" s="90">
        <v>37000</v>
      </c>
      <c r="J98" s="29">
        <f t="shared" si="40"/>
        <v>22.990791256042851</v>
      </c>
      <c r="K98" s="29">
        <f t="shared" si="56"/>
        <v>509.84378689400631</v>
      </c>
      <c r="L98" s="97">
        <v>385</v>
      </c>
      <c r="M98" s="58">
        <f t="shared" si="35"/>
        <v>0.8</v>
      </c>
      <c r="N98" s="44">
        <f t="shared" si="36"/>
        <v>-14.999999999999993</v>
      </c>
      <c r="O98" s="44">
        <f t="shared" si="37"/>
        <v>287.84378689400637</v>
      </c>
      <c r="P98" s="54">
        <f t="shared" si="38"/>
        <v>19.851295647862507</v>
      </c>
      <c r="Q98" s="81">
        <f t="shared" si="66"/>
        <v>1352.6034274920155</v>
      </c>
      <c r="R98" s="44">
        <f t="shared" si="72"/>
        <v>-14.999999999999993</v>
      </c>
      <c r="S98" s="44"/>
      <c r="T98" s="44">
        <f t="shared" si="57"/>
        <v>1130.6034274920155</v>
      </c>
      <c r="U98" s="64">
        <f t="shared" si="73"/>
        <v>77.972650171863137</v>
      </c>
      <c r="V98" s="65">
        <v>2300</v>
      </c>
      <c r="W98" s="44">
        <f t="shared" si="53"/>
        <v>28.448233437309707</v>
      </c>
      <c r="X98" s="44">
        <f t="shared" si="54"/>
        <v>11.5</v>
      </c>
      <c r="Y98" s="44">
        <f t="shared" si="55"/>
        <v>198.64823343730973</v>
      </c>
      <c r="Z98" s="44"/>
      <c r="AA98" s="81">
        <f t="shared" si="59"/>
        <v>1076.7415213690085</v>
      </c>
      <c r="AB98" s="44">
        <f t="shared" si="60"/>
        <v>-14.999999999999993</v>
      </c>
      <c r="AC98" s="61">
        <f t="shared" si="74"/>
        <v>854.74152136900864</v>
      </c>
      <c r="AD98" s="64">
        <f t="shared" si="62"/>
        <v>58.947691128897148</v>
      </c>
      <c r="AE98" s="81">
        <f t="shared" si="63"/>
        <v>762.33785278437131</v>
      </c>
      <c r="AF98" s="82">
        <f t="shared" si="64"/>
        <v>-14.999999999999993</v>
      </c>
      <c r="AG98" s="44">
        <f t="shared" si="75"/>
        <v>540.33785278437142</v>
      </c>
      <c r="AH98" s="64">
        <f t="shared" si="76"/>
        <v>37.264679502370441</v>
      </c>
      <c r="AK98" s="21"/>
      <c r="AL98" s="87"/>
    </row>
    <row r="99" spans="2:38" s="3" customFormat="1" x14ac:dyDescent="0.3">
      <c r="B99" s="1"/>
      <c r="C99" s="1"/>
      <c r="D99" s="1"/>
      <c r="F99" s="1"/>
      <c r="I99" s="90">
        <v>37500</v>
      </c>
      <c r="J99" s="29">
        <f t="shared" si="40"/>
        <v>23.301477624367756</v>
      </c>
      <c r="K99" s="29">
        <f t="shared" si="56"/>
        <v>516.73356779797939</v>
      </c>
      <c r="L99" s="98">
        <v>391</v>
      </c>
      <c r="M99" s="58">
        <f t="shared" si="35"/>
        <v>0.6</v>
      </c>
      <c r="N99" s="44">
        <f t="shared" si="36"/>
        <v>-14.399999999999993</v>
      </c>
      <c r="O99" s="44">
        <f t="shared" si="37"/>
        <v>303.6135677979795</v>
      </c>
      <c r="P99" s="54">
        <f t="shared" si="38"/>
        <v>20.938866744688241</v>
      </c>
      <c r="Q99" s="81">
        <f t="shared" si="66"/>
        <v>1370.8818521878536</v>
      </c>
      <c r="R99" s="44">
        <f t="shared" si="72"/>
        <v>-14.399999999999993</v>
      </c>
      <c r="S99" s="44"/>
      <c r="T99" s="44">
        <f t="shared" si="57"/>
        <v>1157.7618521878537</v>
      </c>
      <c r="U99" s="64">
        <f t="shared" si="73"/>
        <v>79.845644978472677</v>
      </c>
      <c r="V99" s="65">
        <v>2400</v>
      </c>
      <c r="W99" s="44">
        <f t="shared" si="53"/>
        <v>29.685113151975344</v>
      </c>
      <c r="X99" s="44">
        <f t="shared" si="54"/>
        <v>12.1</v>
      </c>
      <c r="Y99" s="44">
        <f t="shared" si="55"/>
        <v>208.76511315197536</v>
      </c>
      <c r="Z99" s="44"/>
      <c r="AA99" s="81">
        <f t="shared" si="59"/>
        <v>1091.2920824685898</v>
      </c>
      <c r="AB99" s="44">
        <f t="shared" si="60"/>
        <v>-14.399999999999993</v>
      </c>
      <c r="AC99" s="61">
        <f t="shared" si="74"/>
        <v>878.17208246858991</v>
      </c>
      <c r="AD99" s="64">
        <f t="shared" si="62"/>
        <v>60.56359189438551</v>
      </c>
      <c r="AE99" s="81">
        <f t="shared" si="63"/>
        <v>772.63971565983593</v>
      </c>
      <c r="AF99" s="82">
        <f t="shared" si="64"/>
        <v>-14.399999999999993</v>
      </c>
      <c r="AG99" s="44">
        <f t="shared" si="75"/>
        <v>559.51971565983604</v>
      </c>
      <c r="AH99" s="64">
        <f t="shared" si="76"/>
        <v>38.587566597230072</v>
      </c>
      <c r="AK99" s="21"/>
      <c r="AL99" s="87"/>
    </row>
    <row r="100" spans="2:38" s="3" customFormat="1" x14ac:dyDescent="0.3">
      <c r="B100" s="1"/>
      <c r="C100" s="1"/>
      <c r="D100" s="1"/>
      <c r="F100" s="1"/>
      <c r="I100" s="90">
        <v>38000</v>
      </c>
      <c r="J100" s="29">
        <f t="shared" si="40"/>
        <v>23.612163992692658</v>
      </c>
      <c r="K100" s="29">
        <f t="shared" si="56"/>
        <v>523.62334870195241</v>
      </c>
      <c r="L100" s="97">
        <v>403</v>
      </c>
      <c r="M100" s="58">
        <f t="shared" si="35"/>
        <v>1.2</v>
      </c>
      <c r="N100" s="44">
        <f t="shared" si="36"/>
        <v>-13.199999999999994</v>
      </c>
      <c r="O100" s="44">
        <f t="shared" si="37"/>
        <v>328.26334870195251</v>
      </c>
      <c r="P100" s="54">
        <f t="shared" si="38"/>
        <v>22.638851634617414</v>
      </c>
      <c r="Q100" s="81">
        <f t="shared" si="66"/>
        <v>1389.1602768836915</v>
      </c>
      <c r="R100" s="44">
        <f t="shared" si="72"/>
        <v>-13.199999999999994</v>
      </c>
      <c r="S100" s="44"/>
      <c r="T100" s="44">
        <f t="shared" si="57"/>
        <v>1193.8002768836916</v>
      </c>
      <c r="U100" s="64">
        <f t="shared" si="73"/>
        <v>82.331053578185632</v>
      </c>
      <c r="V100" s="65">
        <v>2500</v>
      </c>
      <c r="W100" s="44">
        <f t="shared" si="53"/>
        <v>30.921992866640984</v>
      </c>
      <c r="X100" s="44">
        <f t="shared" si="54"/>
        <v>13.299999999999999</v>
      </c>
      <c r="Y100" s="44">
        <f t="shared" si="55"/>
        <v>227.76199286664098</v>
      </c>
      <c r="Z100" s="44"/>
      <c r="AA100" s="81">
        <f t="shared" si="59"/>
        <v>1105.8426435681708</v>
      </c>
      <c r="AB100" s="44">
        <f t="shared" si="60"/>
        <v>-13.199999999999994</v>
      </c>
      <c r="AC100" s="61">
        <f t="shared" si="74"/>
        <v>910.48264356817094</v>
      </c>
      <c r="AD100" s="64">
        <f t="shared" si="62"/>
        <v>62.791906452977308</v>
      </c>
      <c r="AE100" s="81">
        <f t="shared" si="63"/>
        <v>782.94157853530021</v>
      </c>
      <c r="AF100" s="82">
        <f t="shared" si="64"/>
        <v>-13.199999999999994</v>
      </c>
      <c r="AG100" s="44">
        <f t="shared" si="75"/>
        <v>587.58157853530031</v>
      </c>
      <c r="AH100" s="64">
        <f t="shared" si="76"/>
        <v>40.522867485193125</v>
      </c>
      <c r="AK100" s="21"/>
      <c r="AL100" s="87"/>
    </row>
    <row r="101" spans="2:38" s="3" customFormat="1" x14ac:dyDescent="0.3">
      <c r="B101" s="1"/>
      <c r="C101" s="1"/>
      <c r="D101" s="1"/>
      <c r="F101" s="1"/>
      <c r="I101" s="100">
        <v>38500</v>
      </c>
      <c r="J101" s="101">
        <f t="shared" si="40"/>
        <v>23.922850361017563</v>
      </c>
      <c r="K101" s="101">
        <f t="shared" si="56"/>
        <v>530.51312960592543</v>
      </c>
      <c r="L101" s="109">
        <v>413</v>
      </c>
      <c r="M101" s="59">
        <f t="shared" si="35"/>
        <v>1</v>
      </c>
      <c r="N101" s="59">
        <f t="shared" si="36"/>
        <v>-12.199999999999994</v>
      </c>
      <c r="O101" s="59">
        <f t="shared" si="37"/>
        <v>349.95312960592548</v>
      </c>
      <c r="P101" s="99">
        <f t="shared" si="38"/>
        <v>24.134698593512102</v>
      </c>
      <c r="Q101" s="103">
        <f t="shared" si="66"/>
        <v>1407.4387015795296</v>
      </c>
      <c r="R101" s="59">
        <f t="shared" si="72"/>
        <v>-12.199999999999994</v>
      </c>
      <c r="S101" s="59"/>
      <c r="T101" s="59">
        <f t="shared" si="57"/>
        <v>1226.8787015795297</v>
      </c>
      <c r="U101" s="63">
        <f t="shared" si="73"/>
        <v>84.612324246864119</v>
      </c>
      <c r="V101" s="59">
        <v>2600</v>
      </c>
      <c r="W101" s="59">
        <f t="shared" si="53"/>
        <v>32.158872581306618</v>
      </c>
      <c r="X101" s="59">
        <f t="shared" si="54"/>
        <v>14.299999999999999</v>
      </c>
      <c r="Y101" s="59">
        <f t="shared" si="55"/>
        <v>243.7988725813066</v>
      </c>
      <c r="Z101" s="59"/>
      <c r="AA101" s="103">
        <f t="shared" si="59"/>
        <v>1120.3932046677521</v>
      </c>
      <c r="AB101" s="59">
        <f t="shared" si="60"/>
        <v>-12.199999999999994</v>
      </c>
      <c r="AC101" s="99">
        <f t="shared" si="74"/>
        <v>939.83320466775217</v>
      </c>
      <c r="AD101" s="63">
        <f t="shared" si="62"/>
        <v>64.816083080534639</v>
      </c>
      <c r="AE101" s="103">
        <f t="shared" si="63"/>
        <v>793.24344141076483</v>
      </c>
      <c r="AF101" s="104">
        <f t="shared" si="64"/>
        <v>-12.199999999999994</v>
      </c>
      <c r="AG101" s="59">
        <f t="shared" si="75"/>
        <v>612.68344141076489</v>
      </c>
      <c r="AH101" s="63">
        <f t="shared" si="76"/>
        <v>42.254030442121717</v>
      </c>
      <c r="AI101" s="106"/>
      <c r="AJ101" s="106"/>
      <c r="AK101" s="107"/>
      <c r="AL101" s="108" t="s">
        <v>65</v>
      </c>
    </row>
    <row r="102" spans="2:38" s="3" customFormat="1" x14ac:dyDescent="0.3">
      <c r="B102" s="1"/>
      <c r="C102" s="1"/>
      <c r="D102" s="1"/>
      <c r="F102" s="1"/>
      <c r="I102" s="90">
        <v>39000</v>
      </c>
      <c r="J102" s="29">
        <f t="shared" si="40"/>
        <v>24.233536729342465</v>
      </c>
      <c r="K102" s="29">
        <f t="shared" si="56"/>
        <v>537.40291050989845</v>
      </c>
      <c r="L102" s="97">
        <v>420</v>
      </c>
      <c r="M102" s="58">
        <f t="shared" si="35"/>
        <v>0.7</v>
      </c>
      <c r="N102" s="44">
        <f t="shared" si="36"/>
        <v>-11.499999999999995</v>
      </c>
      <c r="O102" s="44">
        <f t="shared" si="37"/>
        <v>367.20291050989852</v>
      </c>
      <c r="P102" s="54">
        <f t="shared" si="38"/>
        <v>25.324338655855069</v>
      </c>
      <c r="Q102" s="81">
        <f t="shared" si="66"/>
        <v>1425.7171262753675</v>
      </c>
      <c r="R102" s="44">
        <f t="shared" si="72"/>
        <v>-11.499999999999995</v>
      </c>
      <c r="S102" s="44"/>
      <c r="T102" s="44">
        <f t="shared" si="57"/>
        <v>1255.5171262753674</v>
      </c>
      <c r="U102" s="64">
        <f t="shared" si="73"/>
        <v>86.587388018990865</v>
      </c>
      <c r="V102" s="65">
        <v>2700</v>
      </c>
      <c r="W102" s="44">
        <f t="shared" si="53"/>
        <v>33.395752295972258</v>
      </c>
      <c r="X102" s="44">
        <f t="shared" si="54"/>
        <v>14.999999999999998</v>
      </c>
      <c r="Y102" s="44">
        <f t="shared" si="55"/>
        <v>255.39575229597222</v>
      </c>
      <c r="Z102" s="44"/>
      <c r="AA102" s="81">
        <f t="shared" si="59"/>
        <v>1134.9437657673332</v>
      </c>
      <c r="AB102" s="44">
        <f t="shared" si="60"/>
        <v>-11.499999999999995</v>
      </c>
      <c r="AC102" s="61">
        <f t="shared" si="74"/>
        <v>964.74376576733323</v>
      </c>
      <c r="AD102" s="64">
        <f t="shared" si="62"/>
        <v>66.534052811540221</v>
      </c>
      <c r="AE102" s="81">
        <f t="shared" si="63"/>
        <v>803.54530428622922</v>
      </c>
      <c r="AF102" s="82">
        <f t="shared" si="64"/>
        <v>-11.499999999999995</v>
      </c>
      <c r="AG102" s="44">
        <f t="shared" si="75"/>
        <v>633.34530428622929</v>
      </c>
      <c r="AH102" s="64">
        <f t="shared" si="76"/>
        <v>43.678986502498574</v>
      </c>
      <c r="AK102" s="21"/>
      <c r="AL102" s="87"/>
    </row>
    <row r="103" spans="2:38" s="3" customFormat="1" x14ac:dyDescent="0.3">
      <c r="B103" s="1"/>
      <c r="C103" s="1"/>
      <c r="D103" s="1"/>
      <c r="F103" s="1"/>
      <c r="I103" s="90">
        <v>39500</v>
      </c>
      <c r="J103" s="29">
        <f t="shared" si="40"/>
        <v>24.544223097667366</v>
      </c>
      <c r="K103" s="29">
        <f t="shared" si="56"/>
        <v>544.29269141387147</v>
      </c>
      <c r="L103" s="98">
        <v>431</v>
      </c>
      <c r="M103" s="58">
        <f t="shared" si="35"/>
        <v>1.1000000000000001</v>
      </c>
      <c r="N103" s="44">
        <f t="shared" si="36"/>
        <v>-10.399999999999995</v>
      </c>
      <c r="O103" s="44">
        <f t="shared" si="37"/>
        <v>390.37269141387151</v>
      </c>
      <c r="P103" s="54">
        <f t="shared" si="38"/>
        <v>26.922254580267001</v>
      </c>
      <c r="Q103" s="81">
        <f t="shared" si="66"/>
        <v>1443.9955509712054</v>
      </c>
      <c r="R103" s="44">
        <f t="shared" si="72"/>
        <v>-10.399999999999995</v>
      </c>
      <c r="S103" s="44"/>
      <c r="T103" s="44">
        <f t="shared" si="57"/>
        <v>1290.0755509712055</v>
      </c>
      <c r="U103" s="64">
        <f t="shared" si="73"/>
        <v>88.970727653186586</v>
      </c>
      <c r="V103" s="65">
        <v>2800</v>
      </c>
      <c r="W103" s="44">
        <f t="shared" si="53"/>
        <v>34.632632010637906</v>
      </c>
      <c r="X103" s="44">
        <f t="shared" si="54"/>
        <v>16.099999999999998</v>
      </c>
      <c r="Y103" s="44">
        <f t="shared" si="55"/>
        <v>272.91263201063788</v>
      </c>
      <c r="Z103" s="44"/>
      <c r="AA103" s="81">
        <f t="shared" si="59"/>
        <v>1149.4943268669144</v>
      </c>
      <c r="AB103" s="44">
        <f t="shared" si="60"/>
        <v>-10.399999999999995</v>
      </c>
      <c r="AC103" s="61">
        <f t="shared" si="74"/>
        <v>995.57432686691448</v>
      </c>
      <c r="AD103" s="64">
        <f t="shared" si="62"/>
        <v>68.660298404614792</v>
      </c>
      <c r="AE103" s="81">
        <f t="shared" si="63"/>
        <v>813.84716716169362</v>
      </c>
      <c r="AF103" s="82">
        <f t="shared" si="64"/>
        <v>-10.399999999999995</v>
      </c>
      <c r="AG103" s="44">
        <f t="shared" si="75"/>
        <v>659.92716716169366</v>
      </c>
      <c r="AH103" s="64">
        <f t="shared" si="76"/>
        <v>45.512218424944393</v>
      </c>
      <c r="AK103" s="21"/>
      <c r="AL103" s="87"/>
    </row>
    <row r="104" spans="2:38" s="3" customFormat="1" x14ac:dyDescent="0.3">
      <c r="B104" s="1"/>
      <c r="C104" s="1"/>
      <c r="D104" s="1"/>
      <c r="F104" s="1"/>
      <c r="I104" s="90">
        <v>40000</v>
      </c>
      <c r="J104" s="29">
        <f t="shared" si="40"/>
        <v>24.854909465992272</v>
      </c>
      <c r="K104" s="29">
        <f t="shared" si="56"/>
        <v>551.1824723178446</v>
      </c>
      <c r="L104" s="97">
        <v>440</v>
      </c>
      <c r="M104" s="58">
        <f t="shared" si="35"/>
        <v>0.9</v>
      </c>
      <c r="N104" s="44">
        <f t="shared" si="36"/>
        <v>-9.4999999999999947</v>
      </c>
      <c r="O104" s="44">
        <f t="shared" si="37"/>
        <v>410.58247231784469</v>
      </c>
      <c r="P104" s="54">
        <f t="shared" si="38"/>
        <v>28.31603257364446</v>
      </c>
      <c r="Q104" s="81">
        <f t="shared" si="66"/>
        <v>1462.2739756670435</v>
      </c>
      <c r="R104" s="44">
        <f t="shared" si="72"/>
        <v>-9.4999999999999947</v>
      </c>
      <c r="S104" s="44"/>
      <c r="T104" s="44">
        <f t="shared" si="57"/>
        <v>1321.6739756670436</v>
      </c>
      <c r="U104" s="64">
        <f t="shared" si="73"/>
        <v>91.149929356347826</v>
      </c>
      <c r="V104" s="65">
        <v>2900</v>
      </c>
      <c r="W104" s="44">
        <f t="shared" si="53"/>
        <v>35.869511725303539</v>
      </c>
      <c r="X104" s="44">
        <f t="shared" si="54"/>
        <v>16.999999999999996</v>
      </c>
      <c r="Y104" s="44">
        <f t="shared" si="55"/>
        <v>287.46951172530351</v>
      </c>
      <c r="Z104" s="44"/>
      <c r="AA104" s="81">
        <f t="shared" si="59"/>
        <v>1164.0448879664955</v>
      </c>
      <c r="AB104" s="44">
        <f t="shared" si="60"/>
        <v>-9.4999999999999947</v>
      </c>
      <c r="AC104" s="61">
        <f t="shared" si="74"/>
        <v>1023.4448879664956</v>
      </c>
      <c r="AD104" s="64">
        <f t="shared" si="62"/>
        <v>70.582406066654869</v>
      </c>
      <c r="AE104" s="81">
        <f t="shared" si="63"/>
        <v>824.14903003715813</v>
      </c>
      <c r="AF104" s="82">
        <f t="shared" si="64"/>
        <v>-9.4999999999999947</v>
      </c>
      <c r="AG104" s="44">
        <f t="shared" si="75"/>
        <v>683.54903003715822</v>
      </c>
      <c r="AH104" s="64">
        <f t="shared" si="76"/>
        <v>47.141312416355738</v>
      </c>
      <c r="AK104" s="21"/>
      <c r="AL104" s="87"/>
    </row>
    <row r="105" spans="2:38" s="3" customFormat="1" x14ac:dyDescent="0.3">
      <c r="B105" s="1"/>
      <c r="C105" s="1"/>
      <c r="D105" s="1"/>
      <c r="F105" s="1"/>
      <c r="I105" s="90">
        <v>40500</v>
      </c>
      <c r="J105" s="29">
        <f t="shared" si="40"/>
        <v>25.165595834317173</v>
      </c>
      <c r="K105" s="29">
        <f t="shared" si="56"/>
        <v>558.07225322181762</v>
      </c>
      <c r="L105" s="98">
        <v>449</v>
      </c>
      <c r="M105" s="58">
        <f t="shared" si="35"/>
        <v>0.9</v>
      </c>
      <c r="N105" s="44">
        <f t="shared" si="36"/>
        <v>-8.5999999999999943</v>
      </c>
      <c r="O105" s="44">
        <f t="shared" si="37"/>
        <v>430.7922532218177</v>
      </c>
      <c r="P105" s="54">
        <f t="shared" si="38"/>
        <v>29.709810567021911</v>
      </c>
      <c r="Q105" s="81">
        <f t="shared" si="66"/>
        <v>1480.5524003628818</v>
      </c>
      <c r="R105" s="44">
        <f t="shared" si="72"/>
        <v>-8.5999999999999943</v>
      </c>
      <c r="S105" s="44"/>
      <c r="T105" s="44">
        <f t="shared" si="57"/>
        <v>1353.2724003628819</v>
      </c>
      <c r="U105" s="64">
        <f t="shared" si="73"/>
        <v>93.329131059509095</v>
      </c>
      <c r="V105" s="65">
        <v>3000</v>
      </c>
      <c r="W105" s="44">
        <f t="shared" si="53"/>
        <v>37.10639143996918</v>
      </c>
      <c r="X105" s="44">
        <f t="shared" si="54"/>
        <v>17.899999999999995</v>
      </c>
      <c r="Y105" s="44">
        <f t="shared" si="55"/>
        <v>302.02639143996913</v>
      </c>
      <c r="Z105" s="44"/>
      <c r="AA105" s="81">
        <f t="shared" si="59"/>
        <v>1178.5954490660768</v>
      </c>
      <c r="AB105" s="44">
        <f t="shared" si="60"/>
        <v>-8.5999999999999943</v>
      </c>
      <c r="AC105" s="61">
        <f t="shared" si="74"/>
        <v>1051.3154490660768</v>
      </c>
      <c r="AD105" s="64">
        <f t="shared" si="62"/>
        <v>72.504513728694945</v>
      </c>
      <c r="AE105" s="81">
        <f t="shared" si="63"/>
        <v>834.45089291262263</v>
      </c>
      <c r="AF105" s="82">
        <f t="shared" si="64"/>
        <v>-8.5999999999999943</v>
      </c>
      <c r="AG105" s="44">
        <f t="shared" si="75"/>
        <v>707.17089291262278</v>
      </c>
      <c r="AH105" s="64">
        <f t="shared" si="76"/>
        <v>48.770406407767091</v>
      </c>
      <c r="AK105" s="21"/>
      <c r="AL105" s="87"/>
    </row>
    <row r="106" spans="2:38" s="3" customFormat="1" x14ac:dyDescent="0.3">
      <c r="B106" s="1"/>
      <c r="C106" s="1"/>
      <c r="D106" s="1"/>
      <c r="F106" s="1"/>
      <c r="I106" s="90">
        <v>41000</v>
      </c>
      <c r="J106" s="29">
        <f t="shared" si="40"/>
        <v>25.476282202642079</v>
      </c>
      <c r="K106" s="29">
        <f t="shared" si="56"/>
        <v>564.96203412579075</v>
      </c>
      <c r="L106" s="97">
        <v>464</v>
      </c>
      <c r="M106" s="58">
        <f t="shared" si="35"/>
        <v>1.5</v>
      </c>
      <c r="N106" s="44">
        <f t="shared" si="36"/>
        <v>-7.0999999999999943</v>
      </c>
      <c r="O106" s="44">
        <f t="shared" si="37"/>
        <v>459.88203412579082</v>
      </c>
      <c r="P106" s="54">
        <f t="shared" si="38"/>
        <v>31.716002353502816</v>
      </c>
      <c r="Q106" s="81">
        <f t="shared" si="66"/>
        <v>1498.8308250587199</v>
      </c>
      <c r="R106" s="44">
        <f t="shared" si="72"/>
        <v>-7.0999999999999943</v>
      </c>
      <c r="S106" s="44"/>
      <c r="T106" s="44">
        <f t="shared" si="57"/>
        <v>1393.75082505872</v>
      </c>
      <c r="U106" s="64">
        <f t="shared" si="73"/>
        <v>96.120746555773792</v>
      </c>
      <c r="V106" s="65">
        <v>3100</v>
      </c>
      <c r="W106" s="44">
        <f t="shared" si="53"/>
        <v>38.34327115463482</v>
      </c>
      <c r="X106" s="44">
        <f t="shared" si="54"/>
        <v>19.399999999999995</v>
      </c>
      <c r="Y106" s="44">
        <f t="shared" si="55"/>
        <v>325.46327115463475</v>
      </c>
      <c r="Z106" s="44"/>
      <c r="AA106" s="81">
        <f t="shared" si="59"/>
        <v>1193.146010165658</v>
      </c>
      <c r="AB106" s="44">
        <f t="shared" si="60"/>
        <v>-7.0999999999999943</v>
      </c>
      <c r="AC106" s="61">
        <f t="shared" si="74"/>
        <v>1088.0660101656581</v>
      </c>
      <c r="AD106" s="64">
        <f t="shared" si="62"/>
        <v>75.039035183838493</v>
      </c>
      <c r="AE106" s="81">
        <f t="shared" si="63"/>
        <v>844.75275578808714</v>
      </c>
      <c r="AF106" s="82">
        <f t="shared" si="64"/>
        <v>-7.0999999999999943</v>
      </c>
      <c r="AG106" s="44">
        <f t="shared" si="75"/>
        <v>739.67275578808722</v>
      </c>
      <c r="AH106" s="64">
        <f t="shared" si="76"/>
        <v>51.011914192281878</v>
      </c>
      <c r="AK106" s="21"/>
      <c r="AL106" s="87"/>
    </row>
    <row r="107" spans="2:38" s="3" customFormat="1" x14ac:dyDescent="0.3">
      <c r="B107" s="1"/>
      <c r="C107" s="1"/>
      <c r="D107" s="1"/>
      <c r="F107" s="1"/>
      <c r="I107" s="100">
        <v>41500</v>
      </c>
      <c r="J107" s="101">
        <f t="shared" si="40"/>
        <v>25.78696857096698</v>
      </c>
      <c r="K107" s="101">
        <f t="shared" si="56"/>
        <v>571.85181502976366</v>
      </c>
      <c r="L107" s="109">
        <v>469</v>
      </c>
      <c r="M107" s="59">
        <f t="shared" si="35"/>
        <v>0.5</v>
      </c>
      <c r="N107" s="59">
        <f t="shared" si="36"/>
        <v>-6.5999999999999943</v>
      </c>
      <c r="O107" s="59">
        <f t="shared" si="37"/>
        <v>474.17181502976371</v>
      </c>
      <c r="P107" s="99">
        <f t="shared" si="38"/>
        <v>32.701504484811288</v>
      </c>
      <c r="Q107" s="103">
        <f t="shared" si="66"/>
        <v>1517.1092497545576</v>
      </c>
      <c r="R107" s="59">
        <f t="shared" si="72"/>
        <v>-6.5999999999999943</v>
      </c>
      <c r="S107" s="59"/>
      <c r="T107" s="59">
        <f t="shared" si="57"/>
        <v>1419.4292497545578</v>
      </c>
      <c r="U107" s="63">
        <f t="shared" si="73"/>
        <v>97.891672396866056</v>
      </c>
      <c r="V107" s="59">
        <v>3200</v>
      </c>
      <c r="W107" s="59">
        <f t="shared" si="53"/>
        <v>39.580150869300468</v>
      </c>
      <c r="X107" s="59">
        <f t="shared" si="54"/>
        <v>19.899999999999995</v>
      </c>
      <c r="Y107" s="59">
        <f t="shared" si="55"/>
        <v>334.10015086930036</v>
      </c>
      <c r="Z107" s="59"/>
      <c r="AA107" s="103">
        <f t="shared" si="59"/>
        <v>1207.6965712652391</v>
      </c>
      <c r="AB107" s="59">
        <f t="shared" si="60"/>
        <v>-6.5999999999999943</v>
      </c>
      <c r="AC107" s="99">
        <f t="shared" si="74"/>
        <v>1110.0165712652392</v>
      </c>
      <c r="AD107" s="63">
        <f t="shared" si="62"/>
        <v>76.552866983809608</v>
      </c>
      <c r="AE107" s="103">
        <f t="shared" si="63"/>
        <v>855.05461866355142</v>
      </c>
      <c r="AF107" s="104">
        <f t="shared" si="64"/>
        <v>-6.5999999999999943</v>
      </c>
      <c r="AG107" s="59">
        <f t="shared" si="75"/>
        <v>757.37461866355147</v>
      </c>
      <c r="AH107" s="63">
        <f t="shared" si="76"/>
        <v>52.232732321624241</v>
      </c>
      <c r="AI107" s="106"/>
      <c r="AJ107" s="106"/>
      <c r="AK107" s="107"/>
      <c r="AL107" s="108" t="s">
        <v>66</v>
      </c>
    </row>
    <row r="108" spans="2:38" s="3" customFormat="1" x14ac:dyDescent="0.3">
      <c r="B108" s="1"/>
      <c r="C108" s="1"/>
      <c r="D108" s="1"/>
      <c r="F108" s="1"/>
      <c r="I108" s="90">
        <v>42000</v>
      </c>
      <c r="J108" s="29">
        <f t="shared" si="40"/>
        <v>26.097654939291886</v>
      </c>
      <c r="K108" s="29">
        <f t="shared" si="56"/>
        <v>578.74159593373679</v>
      </c>
      <c r="L108" s="97">
        <v>478</v>
      </c>
      <c r="M108" s="58">
        <f t="shared" si="35"/>
        <v>0.9</v>
      </c>
      <c r="N108" s="44">
        <f t="shared" si="36"/>
        <v>-5.699999999999994</v>
      </c>
      <c r="O108" s="44">
        <f t="shared" si="37"/>
        <v>494.38159593373689</v>
      </c>
      <c r="P108" s="54">
        <f t="shared" si="38"/>
        <v>34.09528247818875</v>
      </c>
      <c r="Q108" s="81">
        <f t="shared" si="66"/>
        <v>1535.3876744503959</v>
      </c>
      <c r="R108" s="44">
        <f t="shared" si="72"/>
        <v>-5.699999999999994</v>
      </c>
      <c r="S108" s="44"/>
      <c r="T108" s="44">
        <f t="shared" si="57"/>
        <v>1451.027674450396</v>
      </c>
      <c r="U108" s="64">
        <f t="shared" si="73"/>
        <v>100.07087410002731</v>
      </c>
      <c r="V108" s="65">
        <v>3300</v>
      </c>
      <c r="W108" s="44">
        <f t="shared" si="53"/>
        <v>40.817030583966101</v>
      </c>
      <c r="X108" s="44">
        <f t="shared" si="54"/>
        <v>20.799999999999994</v>
      </c>
      <c r="Y108" s="44">
        <f t="shared" si="55"/>
        <v>348.65703058396605</v>
      </c>
      <c r="Z108" s="44"/>
      <c r="AA108" s="81">
        <f t="shared" si="59"/>
        <v>1222.2471323648206</v>
      </c>
      <c r="AB108" s="44">
        <f t="shared" si="60"/>
        <v>-5.699999999999994</v>
      </c>
      <c r="AC108" s="61">
        <f t="shared" si="74"/>
        <v>1137.8871323648207</v>
      </c>
      <c r="AD108" s="64">
        <f t="shared" si="62"/>
        <v>78.474974645849699</v>
      </c>
      <c r="AE108" s="81">
        <f t="shared" si="63"/>
        <v>865.35648153901604</v>
      </c>
      <c r="AF108" s="82">
        <f t="shared" si="64"/>
        <v>-5.699999999999994</v>
      </c>
      <c r="AG108" s="44">
        <f t="shared" si="75"/>
        <v>780.99648153901614</v>
      </c>
      <c r="AH108" s="64">
        <f t="shared" si="76"/>
        <v>53.861826313035593</v>
      </c>
      <c r="AK108" s="21"/>
      <c r="AL108" s="87"/>
    </row>
    <row r="109" spans="2:38" s="3" customFormat="1" x14ac:dyDescent="0.3">
      <c r="B109" s="1"/>
      <c r="C109" s="1"/>
      <c r="D109" s="1"/>
      <c r="F109" s="1"/>
      <c r="I109" s="90">
        <v>42500</v>
      </c>
      <c r="J109" s="29">
        <f t="shared" si="40"/>
        <v>26.408341307616787</v>
      </c>
      <c r="K109" s="29">
        <f t="shared" si="56"/>
        <v>585.63137683770981</v>
      </c>
      <c r="L109" s="98">
        <v>486</v>
      </c>
      <c r="M109" s="58">
        <f t="shared" si="35"/>
        <v>0.8</v>
      </c>
      <c r="N109" s="44">
        <f t="shared" si="36"/>
        <v>-4.8999999999999941</v>
      </c>
      <c r="O109" s="44">
        <f t="shared" si="37"/>
        <v>513.11137683770994</v>
      </c>
      <c r="P109" s="54">
        <f t="shared" si="38"/>
        <v>35.386991506048965</v>
      </c>
      <c r="Q109" s="81">
        <f t="shared" si="66"/>
        <v>1553.6660991462338</v>
      </c>
      <c r="R109" s="44">
        <f t="shared" si="72"/>
        <v>-4.8999999999999941</v>
      </c>
      <c r="S109" s="44"/>
      <c r="T109" s="44">
        <f t="shared" si="57"/>
        <v>1481.1460991462338</v>
      </c>
      <c r="U109" s="64">
        <f t="shared" si="73"/>
        <v>102.1480068376713</v>
      </c>
      <c r="V109" s="65">
        <v>3400</v>
      </c>
      <c r="W109" s="44">
        <f t="shared" si="53"/>
        <v>42.053910298631742</v>
      </c>
      <c r="X109" s="44">
        <f t="shared" si="54"/>
        <v>21.599999999999994</v>
      </c>
      <c r="Y109" s="44">
        <f t="shared" si="55"/>
        <v>361.73391029863171</v>
      </c>
      <c r="Z109" s="44"/>
      <c r="AA109" s="81">
        <f t="shared" si="59"/>
        <v>1236.7976934644016</v>
      </c>
      <c r="AB109" s="44">
        <f t="shared" si="60"/>
        <v>-4.8999999999999941</v>
      </c>
      <c r="AC109" s="61">
        <f t="shared" si="74"/>
        <v>1164.2776934644016</v>
      </c>
      <c r="AD109" s="64">
        <f t="shared" si="62"/>
        <v>80.295013342372528</v>
      </c>
      <c r="AE109" s="81">
        <f t="shared" si="63"/>
        <v>875.65834441448044</v>
      </c>
      <c r="AF109" s="82">
        <f t="shared" si="64"/>
        <v>-4.8999999999999941</v>
      </c>
      <c r="AG109" s="44">
        <f t="shared" si="75"/>
        <v>803.13834441448057</v>
      </c>
      <c r="AH109" s="64">
        <f t="shared" si="76"/>
        <v>55.388851338929697</v>
      </c>
      <c r="AK109" s="21"/>
      <c r="AL109" s="87"/>
    </row>
    <row r="110" spans="2:38" s="3" customFormat="1" x14ac:dyDescent="0.3">
      <c r="B110" s="1"/>
      <c r="C110" s="1"/>
      <c r="D110" s="1"/>
      <c r="F110" s="1"/>
      <c r="I110" s="90">
        <v>43000</v>
      </c>
      <c r="J110" s="29">
        <f t="shared" si="40"/>
        <v>26.719027675941692</v>
      </c>
      <c r="K110" s="29">
        <f t="shared" si="56"/>
        <v>592.52115774168294</v>
      </c>
      <c r="L110" s="97">
        <v>490</v>
      </c>
      <c r="M110" s="58">
        <f t="shared" si="35"/>
        <v>0.4</v>
      </c>
      <c r="N110" s="44">
        <f t="shared" si="36"/>
        <v>-4.4999999999999938</v>
      </c>
      <c r="O110" s="44">
        <f t="shared" si="37"/>
        <v>525.92115774168303</v>
      </c>
      <c r="P110" s="54">
        <f t="shared" si="38"/>
        <v>36.27042467184021</v>
      </c>
      <c r="Q110" s="81">
        <f t="shared" si="66"/>
        <v>1571.9445238420719</v>
      </c>
      <c r="R110" s="44">
        <f t="shared" si="72"/>
        <v>-4.4999999999999938</v>
      </c>
      <c r="S110" s="44"/>
      <c r="T110" s="44">
        <f t="shared" si="57"/>
        <v>1505.344523842072</v>
      </c>
      <c r="U110" s="64">
        <f t="shared" si="73"/>
        <v>103.81686371324635</v>
      </c>
      <c r="V110" s="65">
        <v>3500</v>
      </c>
      <c r="W110" s="44">
        <f t="shared" si="53"/>
        <v>43.290790013297382</v>
      </c>
      <c r="X110" s="44">
        <f t="shared" si="54"/>
        <v>21.999999999999993</v>
      </c>
      <c r="Y110" s="44">
        <f t="shared" si="55"/>
        <v>368.89079001329731</v>
      </c>
      <c r="Z110" s="44"/>
      <c r="AA110" s="81">
        <f t="shared" si="59"/>
        <v>1251.3482545639829</v>
      </c>
      <c r="AB110" s="44">
        <f t="shared" si="60"/>
        <v>-4.4999999999999938</v>
      </c>
      <c r="AC110" s="61">
        <f t="shared" si="74"/>
        <v>1184.748254563983</v>
      </c>
      <c r="AD110" s="64">
        <f t="shared" si="62"/>
        <v>81.706776176826409</v>
      </c>
      <c r="AE110" s="81">
        <f t="shared" si="63"/>
        <v>885.96020728994495</v>
      </c>
      <c r="AF110" s="82">
        <f t="shared" si="64"/>
        <v>-4.4999999999999938</v>
      </c>
      <c r="AG110" s="44">
        <f t="shared" si="75"/>
        <v>819.36020728994504</v>
      </c>
      <c r="AH110" s="64">
        <f t="shared" si="76"/>
        <v>56.507600502754833</v>
      </c>
      <c r="AK110" s="21"/>
      <c r="AL110" s="87"/>
    </row>
    <row r="111" spans="2:38" s="3" customFormat="1" x14ac:dyDescent="0.3">
      <c r="B111" s="1"/>
      <c r="C111" s="1"/>
      <c r="D111" s="1"/>
      <c r="F111" s="1"/>
      <c r="I111" s="90">
        <v>43500</v>
      </c>
      <c r="J111" s="29">
        <f t="shared" si="40"/>
        <v>27.029714044266594</v>
      </c>
      <c r="K111" s="29">
        <f t="shared" si="56"/>
        <v>599.41093864565596</v>
      </c>
      <c r="L111" s="98">
        <v>508</v>
      </c>
      <c r="M111" s="58">
        <f t="shared" si="35"/>
        <v>1.8</v>
      </c>
      <c r="N111" s="44">
        <f t="shared" si="36"/>
        <v>-2.699999999999994</v>
      </c>
      <c r="O111" s="44">
        <f t="shared" si="37"/>
        <v>559.45093864565604</v>
      </c>
      <c r="P111" s="54">
        <f t="shared" si="38"/>
        <v>38.582823354872829</v>
      </c>
      <c r="Q111" s="81">
        <f t="shared" si="66"/>
        <v>1590.2229485379098</v>
      </c>
      <c r="R111" s="44">
        <f t="shared" si="72"/>
        <v>-2.699999999999994</v>
      </c>
      <c r="S111" s="44"/>
      <c r="T111" s="44">
        <f t="shared" si="57"/>
        <v>1550.26294853791</v>
      </c>
      <c r="U111" s="64">
        <f t="shared" si="73"/>
        <v>106.91468610606276</v>
      </c>
      <c r="V111" s="65">
        <v>3600</v>
      </c>
      <c r="W111" s="44">
        <f t="shared" si="53"/>
        <v>44.527669727963016</v>
      </c>
      <c r="X111" s="44">
        <f t="shared" si="54"/>
        <v>23.799999999999994</v>
      </c>
      <c r="Y111" s="44">
        <f t="shared" si="55"/>
        <v>396.76766972796293</v>
      </c>
      <c r="Z111" s="44"/>
      <c r="AA111" s="81">
        <f t="shared" si="59"/>
        <v>1265.8988156635639</v>
      </c>
      <c r="AB111" s="44">
        <f t="shared" si="60"/>
        <v>-2.699999999999994</v>
      </c>
      <c r="AC111" s="61">
        <f t="shared" si="74"/>
        <v>1225.9388156635641</v>
      </c>
      <c r="AD111" s="64">
        <f t="shared" si="62"/>
        <v>84.547504528521671</v>
      </c>
      <c r="AE111" s="81">
        <f t="shared" si="63"/>
        <v>896.26207016540934</v>
      </c>
      <c r="AF111" s="82">
        <f t="shared" si="64"/>
        <v>-2.699999999999994</v>
      </c>
      <c r="AG111" s="44">
        <f t="shared" si="75"/>
        <v>856.30207016540942</v>
      </c>
      <c r="AH111" s="64">
        <f t="shared" si="76"/>
        <v>59.055315183821342</v>
      </c>
      <c r="AK111" s="21"/>
      <c r="AL111" s="87"/>
    </row>
    <row r="112" spans="2:38" s="3" customFormat="1" x14ac:dyDescent="0.3">
      <c r="B112" s="1"/>
      <c r="C112" s="1"/>
      <c r="D112" s="1"/>
      <c r="F112" s="1"/>
      <c r="I112" s="100">
        <v>44000</v>
      </c>
      <c r="J112" s="101">
        <f t="shared" si="40"/>
        <v>27.340400412591499</v>
      </c>
      <c r="K112" s="101">
        <f t="shared" si="56"/>
        <v>606.30071954962909</v>
      </c>
      <c r="L112" s="102">
        <v>521</v>
      </c>
      <c r="M112" s="59">
        <f t="shared" ref="M112:M118" si="77">-(L111-L112)/10</f>
        <v>1.3</v>
      </c>
      <c r="N112" s="59">
        <f t="shared" ref="N112:N118" si="78">+N111+M112</f>
        <v>-1.3999999999999939</v>
      </c>
      <c r="O112" s="59">
        <f t="shared" ref="O112:O118" si="79">+K112+N112*14.8</f>
        <v>585.58071954962918</v>
      </c>
      <c r="P112" s="99">
        <f t="shared" ref="P112:P118" si="80">+O112/14.5</f>
        <v>40.384877210319253</v>
      </c>
      <c r="Q112" s="103">
        <f t="shared" si="66"/>
        <v>1608.5013732337482</v>
      </c>
      <c r="R112" s="59">
        <f t="shared" si="72"/>
        <v>-1.3999999999999939</v>
      </c>
      <c r="S112" s="59"/>
      <c r="T112" s="59">
        <f t="shared" si="57"/>
        <v>1587.7813732337484</v>
      </c>
      <c r="U112" s="63">
        <f t="shared" si="73"/>
        <v>109.50216367129299</v>
      </c>
      <c r="V112" s="59">
        <v>3700</v>
      </c>
      <c r="W112" s="59">
        <f t="shared" si="53"/>
        <v>45.764549442628656</v>
      </c>
      <c r="X112" s="59">
        <f t="shared" si="54"/>
        <v>25.099999999999994</v>
      </c>
      <c r="Y112" s="59">
        <f t="shared" si="55"/>
        <v>417.24454944262862</v>
      </c>
      <c r="Z112" s="59"/>
      <c r="AA112" s="103">
        <f t="shared" si="59"/>
        <v>1280.4493767631454</v>
      </c>
      <c r="AB112" s="59">
        <f t="shared" si="60"/>
        <v>-1.3999999999999939</v>
      </c>
      <c r="AC112" s="99">
        <f t="shared" si="74"/>
        <v>1259.7293767631456</v>
      </c>
      <c r="AD112" s="63">
        <f t="shared" si="62"/>
        <v>86.877888052630738</v>
      </c>
      <c r="AE112" s="103">
        <f t="shared" si="63"/>
        <v>906.56393304087408</v>
      </c>
      <c r="AF112" s="104">
        <f t="shared" si="64"/>
        <v>-1.3999999999999939</v>
      </c>
      <c r="AG112" s="59">
        <f t="shared" si="75"/>
        <v>885.84393304087416</v>
      </c>
      <c r="AH112" s="63">
        <f t="shared" si="76"/>
        <v>61.092685037301663</v>
      </c>
      <c r="AI112" s="106"/>
      <c r="AJ112" s="106"/>
      <c r="AK112" s="107"/>
      <c r="AL112" s="108" t="s">
        <v>67</v>
      </c>
    </row>
    <row r="113" spans="2:38" s="3" customFormat="1" x14ac:dyDescent="0.3">
      <c r="B113" s="1"/>
      <c r="C113" s="1"/>
      <c r="D113" s="1"/>
      <c r="F113" s="1"/>
      <c r="I113" s="90">
        <v>44500</v>
      </c>
      <c r="J113" s="29">
        <f t="shared" ref="J113:J118" si="81">+I113/1609.34</f>
        <v>27.651086780916401</v>
      </c>
      <c r="K113" s="29">
        <f t="shared" si="56"/>
        <v>613.19050045360211</v>
      </c>
      <c r="L113" s="98">
        <v>531</v>
      </c>
      <c r="M113" s="58">
        <f t="shared" si="77"/>
        <v>1</v>
      </c>
      <c r="N113" s="44">
        <f t="shared" si="78"/>
        <v>-0.39999999999999392</v>
      </c>
      <c r="O113" s="44">
        <f t="shared" si="79"/>
        <v>607.27050045360215</v>
      </c>
      <c r="P113" s="54">
        <f t="shared" si="80"/>
        <v>41.880724169213941</v>
      </c>
      <c r="Q113" s="81">
        <f t="shared" si="66"/>
        <v>1626.779797929586</v>
      </c>
      <c r="R113" s="44">
        <f t="shared" si="72"/>
        <v>-0.39999999999999392</v>
      </c>
      <c r="S113" s="44"/>
      <c r="T113" s="44">
        <f t="shared" si="57"/>
        <v>1620.8597979295862</v>
      </c>
      <c r="U113" s="64">
        <f t="shared" si="73"/>
        <v>111.78343433997146</v>
      </c>
      <c r="V113" s="65">
        <v>3800</v>
      </c>
      <c r="W113" s="44">
        <f t="shared" si="53"/>
        <v>47.001429157294297</v>
      </c>
      <c r="X113" s="44">
        <f t="shared" si="54"/>
        <v>26.099999999999994</v>
      </c>
      <c r="Y113" s="44">
        <f t="shared" si="55"/>
        <v>433.28142915729421</v>
      </c>
      <c r="Z113" s="44"/>
      <c r="AA113" s="81">
        <f t="shared" si="59"/>
        <v>1294.9999378627265</v>
      </c>
      <c r="AB113" s="44">
        <f t="shared" si="60"/>
        <v>-0.39999999999999392</v>
      </c>
      <c r="AC113" s="61">
        <f t="shared" si="74"/>
        <v>1289.0799378627266</v>
      </c>
      <c r="AD113" s="64">
        <f t="shared" si="62"/>
        <v>88.902064680188047</v>
      </c>
      <c r="AE113" s="81">
        <f t="shared" si="63"/>
        <v>916.86579591633847</v>
      </c>
      <c r="AF113" s="82">
        <f t="shared" si="64"/>
        <v>-0.39999999999999392</v>
      </c>
      <c r="AG113" s="44">
        <f t="shared" si="75"/>
        <v>910.94579591633851</v>
      </c>
      <c r="AH113" s="64">
        <f t="shared" si="76"/>
        <v>62.823847994230242</v>
      </c>
      <c r="AK113" s="21"/>
      <c r="AL113" s="87"/>
    </row>
    <row r="114" spans="2:38" s="3" customFormat="1" x14ac:dyDescent="0.3">
      <c r="B114" s="1"/>
      <c r="C114" s="1"/>
      <c r="D114" s="1"/>
      <c r="F114" s="1"/>
      <c r="I114" s="90">
        <v>45000</v>
      </c>
      <c r="J114" s="29">
        <f t="shared" si="81"/>
        <v>27.961773149241306</v>
      </c>
      <c r="K114" s="29">
        <f t="shared" si="56"/>
        <v>620.08028135757525</v>
      </c>
      <c r="L114" s="97">
        <v>545</v>
      </c>
      <c r="M114" s="58">
        <f t="shared" si="77"/>
        <v>1.4</v>
      </c>
      <c r="N114" s="44">
        <f t="shared" si="78"/>
        <v>1.000000000000006</v>
      </c>
      <c r="O114" s="44">
        <f t="shared" si="79"/>
        <v>634.88028135757531</v>
      </c>
      <c r="P114" s="54">
        <f t="shared" si="80"/>
        <v>43.784846990177606</v>
      </c>
      <c r="Q114" s="81">
        <f t="shared" si="66"/>
        <v>1645.0582226254242</v>
      </c>
      <c r="R114" s="44">
        <f t="shared" si="72"/>
        <v>1.000000000000006</v>
      </c>
      <c r="S114" s="44"/>
      <c r="T114" s="44">
        <f t="shared" si="57"/>
        <v>1659.8582226254243</v>
      </c>
      <c r="U114" s="64">
        <f t="shared" si="73"/>
        <v>114.47298087071891</v>
      </c>
      <c r="V114" s="65">
        <v>3900</v>
      </c>
      <c r="W114" s="44">
        <f t="shared" si="53"/>
        <v>48.238308871959944</v>
      </c>
      <c r="X114" s="44">
        <f t="shared" si="54"/>
        <v>27.499999999999993</v>
      </c>
      <c r="Y114" s="44">
        <f t="shared" si="55"/>
        <v>455.23830887195982</v>
      </c>
      <c r="Z114" s="44"/>
      <c r="AA114" s="81">
        <f t="shared" si="59"/>
        <v>1309.5504989623078</v>
      </c>
      <c r="AB114" s="44">
        <f t="shared" si="60"/>
        <v>1.000000000000006</v>
      </c>
      <c r="AC114" s="61">
        <f t="shared" si="74"/>
        <v>1324.3504989623079</v>
      </c>
      <c r="AD114" s="64">
        <f t="shared" si="62"/>
        <v>91.334517169814347</v>
      </c>
      <c r="AE114" s="81">
        <f t="shared" si="63"/>
        <v>927.16765879180298</v>
      </c>
      <c r="AF114" s="82">
        <f t="shared" si="64"/>
        <v>1.000000000000006</v>
      </c>
      <c r="AG114" s="44">
        <f t="shared" si="75"/>
        <v>941.96765879180305</v>
      </c>
      <c r="AH114" s="64">
        <f t="shared" si="76"/>
        <v>64.963286813227796</v>
      </c>
      <c r="AK114" s="21"/>
      <c r="AL114" s="87"/>
    </row>
    <row r="115" spans="2:38" s="3" customFormat="1" x14ac:dyDescent="0.3">
      <c r="B115" s="1"/>
      <c r="C115" s="1"/>
      <c r="D115" s="1"/>
      <c r="F115" s="1"/>
      <c r="I115" s="90">
        <v>45500</v>
      </c>
      <c r="J115" s="29">
        <f t="shared" si="81"/>
        <v>28.272459517566208</v>
      </c>
      <c r="K115" s="29">
        <f t="shared" si="56"/>
        <v>626.97006226154815</v>
      </c>
      <c r="L115" s="98">
        <v>557</v>
      </c>
      <c r="M115" s="58">
        <f t="shared" si="77"/>
        <v>1.2</v>
      </c>
      <c r="N115" s="44">
        <f t="shared" si="78"/>
        <v>2.200000000000006</v>
      </c>
      <c r="O115" s="44">
        <f t="shared" si="79"/>
        <v>659.53006226154821</v>
      </c>
      <c r="P115" s="54">
        <f t="shared" si="80"/>
        <v>45.484831880106775</v>
      </c>
      <c r="Q115" s="81">
        <f t="shared" si="66"/>
        <v>1663.336647321262</v>
      </c>
      <c r="R115" s="44">
        <f t="shared" si="72"/>
        <v>2.200000000000006</v>
      </c>
      <c r="S115" s="44"/>
      <c r="T115" s="44">
        <f t="shared" si="57"/>
        <v>1695.8966473212622</v>
      </c>
      <c r="U115" s="64">
        <f t="shared" si="73"/>
        <v>116.95838947043188</v>
      </c>
      <c r="V115" s="65">
        <v>4000</v>
      </c>
      <c r="W115" s="44">
        <f t="shared" si="53"/>
        <v>49.475188586625578</v>
      </c>
      <c r="X115" s="44">
        <f t="shared" si="54"/>
        <v>28.699999999999992</v>
      </c>
      <c r="Y115" s="44">
        <f t="shared" si="55"/>
        <v>474.23518858662544</v>
      </c>
      <c r="Z115" s="44"/>
      <c r="AA115" s="81">
        <f t="shared" si="59"/>
        <v>1324.1010600618888</v>
      </c>
      <c r="AB115" s="44">
        <f t="shared" si="60"/>
        <v>2.200000000000006</v>
      </c>
      <c r="AC115" s="61">
        <f t="shared" si="74"/>
        <v>1356.661060061889</v>
      </c>
      <c r="AD115" s="64">
        <f t="shared" si="62"/>
        <v>93.562831728406138</v>
      </c>
      <c r="AE115" s="81">
        <f t="shared" si="63"/>
        <v>937.46952166726737</v>
      </c>
      <c r="AF115" s="82">
        <f t="shared" si="64"/>
        <v>2.200000000000006</v>
      </c>
      <c r="AG115" s="44">
        <f t="shared" si="75"/>
        <v>970.02952166726743</v>
      </c>
      <c r="AH115" s="64">
        <f t="shared" si="76"/>
        <v>66.898587701190863</v>
      </c>
      <c r="AK115" s="21"/>
      <c r="AL115" s="87"/>
    </row>
    <row r="116" spans="2:38" s="3" customFormat="1" x14ac:dyDescent="0.3">
      <c r="B116" s="1"/>
      <c r="C116" s="1"/>
      <c r="D116" s="1"/>
      <c r="F116" s="1"/>
      <c r="I116" s="90">
        <v>46000</v>
      </c>
      <c r="J116" s="29">
        <f t="shared" si="81"/>
        <v>28.583145885891113</v>
      </c>
      <c r="K116" s="29">
        <f t="shared" si="56"/>
        <v>633.8598431655214</v>
      </c>
      <c r="L116" s="97">
        <v>567</v>
      </c>
      <c r="M116" s="58">
        <f t="shared" si="77"/>
        <v>1</v>
      </c>
      <c r="N116" s="44">
        <f t="shared" si="78"/>
        <v>3.200000000000006</v>
      </c>
      <c r="O116" s="44">
        <f t="shared" si="79"/>
        <v>681.21984316552152</v>
      </c>
      <c r="P116" s="54">
        <f t="shared" si="80"/>
        <v>46.980678839001484</v>
      </c>
      <c r="Q116" s="81">
        <f t="shared" si="66"/>
        <v>1681.6150720171004</v>
      </c>
      <c r="R116" s="44">
        <f t="shared" si="72"/>
        <v>3.200000000000006</v>
      </c>
      <c r="S116" s="44"/>
      <c r="T116" s="44">
        <f t="shared" si="57"/>
        <v>1728.9750720171005</v>
      </c>
      <c r="U116" s="64">
        <f t="shared" si="73"/>
        <v>119.23966013911038</v>
      </c>
      <c r="V116" s="65">
        <v>4100</v>
      </c>
      <c r="W116" s="44">
        <f t="shared" si="53"/>
        <v>50.712068301291218</v>
      </c>
      <c r="X116" s="44">
        <f t="shared" si="54"/>
        <v>29.699999999999992</v>
      </c>
      <c r="Y116" s="44">
        <f t="shared" si="55"/>
        <v>490.27206830129109</v>
      </c>
      <c r="Z116" s="44"/>
      <c r="AA116" s="81">
        <f t="shared" si="59"/>
        <v>1338.6516211614703</v>
      </c>
      <c r="AB116" s="44">
        <f t="shared" si="60"/>
        <v>3.200000000000006</v>
      </c>
      <c r="AC116" s="61">
        <f t="shared" si="74"/>
        <v>1386.0116211614704</v>
      </c>
      <c r="AD116" s="64">
        <f t="shared" si="62"/>
        <v>95.587008355963476</v>
      </c>
      <c r="AE116" s="81">
        <f t="shared" si="63"/>
        <v>947.77138454273199</v>
      </c>
      <c r="AF116" s="82">
        <f t="shared" si="64"/>
        <v>3.200000000000006</v>
      </c>
      <c r="AG116" s="44">
        <f t="shared" si="75"/>
        <v>995.13138454273212</v>
      </c>
      <c r="AH116" s="64">
        <f t="shared" si="76"/>
        <v>68.629750658119463</v>
      </c>
      <c r="AK116" s="21"/>
      <c r="AL116" s="87"/>
    </row>
    <row r="117" spans="2:38" s="3" customFormat="1" x14ac:dyDescent="0.3">
      <c r="B117" s="1"/>
      <c r="C117" s="1"/>
      <c r="D117" s="1"/>
      <c r="F117" s="1"/>
      <c r="I117" s="90">
        <v>46500</v>
      </c>
      <c r="J117" s="29">
        <f t="shared" si="81"/>
        <v>28.893832254216015</v>
      </c>
      <c r="K117" s="29">
        <f t="shared" si="56"/>
        <v>640.7496240694943</v>
      </c>
      <c r="L117" s="98">
        <v>579</v>
      </c>
      <c r="M117" s="58">
        <f t="shared" si="77"/>
        <v>1.2</v>
      </c>
      <c r="N117" s="44">
        <f t="shared" si="78"/>
        <v>4.4000000000000057</v>
      </c>
      <c r="O117" s="44">
        <f t="shared" si="79"/>
        <v>705.86962406949442</v>
      </c>
      <c r="P117" s="54">
        <f t="shared" si="80"/>
        <v>48.680663728930647</v>
      </c>
      <c r="Q117" s="81">
        <f t="shared" si="66"/>
        <v>1699.893496712938</v>
      </c>
      <c r="R117" s="44">
        <f t="shared" si="72"/>
        <v>4.4000000000000057</v>
      </c>
      <c r="S117" s="44"/>
      <c r="T117" s="44">
        <f t="shared" si="57"/>
        <v>1765.0134967129381</v>
      </c>
      <c r="U117" s="64">
        <f t="shared" si="73"/>
        <v>121.72506873882332</v>
      </c>
      <c r="V117" s="65">
        <v>4200</v>
      </c>
      <c r="W117" s="44">
        <f t="shared" si="53"/>
        <v>51.948948015956866</v>
      </c>
      <c r="X117" s="44">
        <f t="shared" si="54"/>
        <v>30.899999999999991</v>
      </c>
      <c r="Y117" s="44">
        <f t="shared" si="55"/>
        <v>509.26894801595677</v>
      </c>
      <c r="Z117" s="44"/>
      <c r="AA117" s="81">
        <f t="shared" si="59"/>
        <v>1353.2021822610511</v>
      </c>
      <c r="AB117" s="44">
        <f t="shared" si="60"/>
        <v>4.4000000000000057</v>
      </c>
      <c r="AC117" s="61">
        <f t="shared" si="74"/>
        <v>1418.3221822610512</v>
      </c>
      <c r="AD117" s="64">
        <f t="shared" si="62"/>
        <v>97.815322914555253</v>
      </c>
      <c r="AE117" s="81">
        <f t="shared" si="63"/>
        <v>958.07324741819627</v>
      </c>
      <c r="AF117" s="82">
        <f t="shared" si="64"/>
        <v>4.4000000000000057</v>
      </c>
      <c r="AG117" s="44">
        <f t="shared" si="75"/>
        <v>1023.1932474181964</v>
      </c>
      <c r="AH117" s="64">
        <f t="shared" si="76"/>
        <v>70.565051546082515</v>
      </c>
      <c r="AK117" s="21"/>
      <c r="AL117" s="87"/>
    </row>
    <row r="118" spans="2:38" s="3" customFormat="1" x14ac:dyDescent="0.3">
      <c r="B118" s="1"/>
      <c r="C118" s="1"/>
      <c r="D118" s="1"/>
      <c r="F118" s="1"/>
      <c r="I118" s="90">
        <v>46700</v>
      </c>
      <c r="J118" s="29">
        <f t="shared" si="81"/>
        <v>29.018106801545976</v>
      </c>
      <c r="K118" s="29">
        <f t="shared" si="56"/>
        <v>643.50553643108344</v>
      </c>
      <c r="L118" s="97">
        <v>586</v>
      </c>
      <c r="M118" s="58">
        <f t="shared" si="77"/>
        <v>0.7</v>
      </c>
      <c r="N118" s="44">
        <f t="shared" si="78"/>
        <v>5.1000000000000059</v>
      </c>
      <c r="O118" s="44">
        <f t="shared" si="79"/>
        <v>718.98553643108357</v>
      </c>
      <c r="P118" s="54">
        <f t="shared" si="80"/>
        <v>49.585209409040246</v>
      </c>
      <c r="Q118" s="81">
        <f t="shared" si="66"/>
        <v>1707.2048665912732</v>
      </c>
      <c r="R118" s="44">
        <f t="shared" si="72"/>
        <v>5.1000000000000059</v>
      </c>
      <c r="S118" s="44"/>
      <c r="T118" s="44">
        <f t="shared" si="57"/>
        <v>1782.6848665912732</v>
      </c>
      <c r="U118" s="64">
        <f t="shared" si="73"/>
        <v>122.94378390284643</v>
      </c>
      <c r="V118" s="65">
        <v>4300</v>
      </c>
      <c r="W118" s="44">
        <f t="shared" ref="W118" si="82">+($V118/1609.34)*5280/(100)*$D$39</f>
        <v>53.185827730622492</v>
      </c>
      <c r="X118" s="44">
        <f t="shared" si="54"/>
        <v>31.599999999999991</v>
      </c>
      <c r="Y118" s="44">
        <f t="shared" si="55"/>
        <v>520.86582773062241</v>
      </c>
      <c r="Z118" s="44"/>
      <c r="AA118" s="81">
        <f t="shared" si="59"/>
        <v>1359.0224067008835</v>
      </c>
      <c r="AB118" s="44">
        <f t="shared" si="60"/>
        <v>5.1000000000000059</v>
      </c>
      <c r="AC118" s="61">
        <f t="shared" si="74"/>
        <v>1434.5024067008835</v>
      </c>
      <c r="AD118" s="64">
        <f t="shared" si="62"/>
        <v>98.931200462129894</v>
      </c>
      <c r="AE118" s="81">
        <f t="shared" si="63"/>
        <v>962.19399256838199</v>
      </c>
      <c r="AF118" s="82">
        <f t="shared" si="64"/>
        <v>5.1000000000000059</v>
      </c>
      <c r="AG118" s="44">
        <f t="shared" si="75"/>
        <v>1037.6739925683821</v>
      </c>
      <c r="AH118" s="64">
        <f t="shared" si="76"/>
        <v>71.563723625405657</v>
      </c>
      <c r="AK118" s="21"/>
      <c r="AL118" s="87"/>
    </row>
    <row r="119" spans="2:38" x14ac:dyDescent="0.3">
      <c r="I119" s="89"/>
      <c r="J119" s="15"/>
      <c r="K119" s="29"/>
      <c r="L119" s="89"/>
      <c r="M119" s="58"/>
      <c r="N119" s="44"/>
      <c r="O119" s="44"/>
      <c r="P119" s="65"/>
    </row>
    <row r="120" spans="2:38" x14ac:dyDescent="0.3">
      <c r="I120" s="89"/>
      <c r="J120" s="15"/>
      <c r="K120" s="29"/>
      <c r="L120" s="89"/>
      <c r="M120" s="58"/>
      <c r="N120" s="44"/>
      <c r="O120" s="44"/>
      <c r="P120" s="65"/>
    </row>
    <row r="121" spans="2:38" x14ac:dyDescent="0.3">
      <c r="I121" s="89"/>
      <c r="J121" s="15"/>
      <c r="K121" s="29"/>
      <c r="L121" s="89"/>
      <c r="M121" s="58"/>
      <c r="N121" s="44"/>
      <c r="O121" s="44"/>
      <c r="P121" s="65"/>
    </row>
    <row r="122" spans="2:38" x14ac:dyDescent="0.3">
      <c r="I122" s="89"/>
      <c r="J122" s="15"/>
      <c r="K122" s="29"/>
      <c r="L122" s="89"/>
      <c r="M122" s="58"/>
      <c r="N122" s="44"/>
      <c r="O122" s="44"/>
      <c r="P122" s="65"/>
    </row>
    <row r="123" spans="2:38" x14ac:dyDescent="0.3">
      <c r="I123" s="89"/>
      <c r="J123" s="15"/>
      <c r="K123" s="29"/>
      <c r="L123" s="89"/>
      <c r="M123" s="58"/>
      <c r="N123" s="44"/>
      <c r="O123" s="44"/>
      <c r="P123" s="65"/>
    </row>
    <row r="124" spans="2:38" x14ac:dyDescent="0.3">
      <c r="I124" s="89"/>
      <c r="J124" s="15"/>
      <c r="K124" s="29"/>
      <c r="L124" s="89"/>
      <c r="M124" s="58"/>
      <c r="N124" s="44"/>
      <c r="O124" s="44"/>
      <c r="P124" s="65"/>
    </row>
    <row r="125" spans="2:38" x14ac:dyDescent="0.3">
      <c r="I125" s="89"/>
      <c r="J125" s="15"/>
      <c r="K125" s="29"/>
      <c r="L125" s="89"/>
      <c r="M125" s="58"/>
      <c r="N125" s="44"/>
      <c r="O125" s="44"/>
      <c r="P125" s="65"/>
    </row>
    <row r="126" spans="2:38" x14ac:dyDescent="0.3">
      <c r="I126" s="89"/>
      <c r="J126" s="15"/>
      <c r="K126" s="29"/>
      <c r="L126" s="89"/>
      <c r="M126" s="58"/>
      <c r="N126" s="44"/>
      <c r="O126" s="44"/>
      <c r="P126" s="65"/>
    </row>
    <row r="127" spans="2:38" x14ac:dyDescent="0.3">
      <c r="I127" s="89"/>
      <c r="J127" s="15"/>
      <c r="K127" s="29"/>
      <c r="L127" s="89"/>
      <c r="M127" s="58"/>
      <c r="N127" s="44"/>
      <c r="O127" s="44"/>
      <c r="P127" s="65"/>
    </row>
    <row r="128" spans="2:38" x14ac:dyDescent="0.3">
      <c r="I128" s="89"/>
      <c r="J128" s="15"/>
      <c r="K128" s="29"/>
      <c r="L128" s="89"/>
      <c r="M128" s="58"/>
      <c r="N128" s="44"/>
      <c r="O128" s="44"/>
      <c r="P128" s="65"/>
    </row>
    <row r="129" spans="9:16" x14ac:dyDescent="0.3">
      <c r="I129" s="89"/>
      <c r="J129" s="15"/>
      <c r="K129" s="29"/>
      <c r="L129" s="89"/>
      <c r="M129" s="58"/>
      <c r="N129" s="44"/>
      <c r="O129" s="44"/>
      <c r="P129" s="65"/>
    </row>
    <row r="130" spans="9:16" x14ac:dyDescent="0.3">
      <c r="I130" s="89"/>
      <c r="J130" s="15"/>
      <c r="K130" s="29"/>
      <c r="L130" s="89"/>
      <c r="M130" s="58"/>
      <c r="N130" s="44"/>
      <c r="O130" s="44"/>
      <c r="P130" s="65"/>
    </row>
    <row r="131" spans="9:16" x14ac:dyDescent="0.3">
      <c r="I131" s="89"/>
      <c r="J131" s="15"/>
      <c r="K131" s="29"/>
      <c r="L131" s="89"/>
      <c r="M131" s="58"/>
      <c r="N131" s="44"/>
      <c r="O131" s="44"/>
      <c r="P131" s="65"/>
    </row>
    <row r="132" spans="9:16" x14ac:dyDescent="0.3">
      <c r="I132" s="89"/>
      <c r="J132" s="15"/>
      <c r="K132" s="29"/>
      <c r="L132" s="89"/>
      <c r="M132" s="58"/>
      <c r="N132" s="44"/>
      <c r="O132" s="44"/>
      <c r="P132" s="65"/>
    </row>
    <row r="133" spans="9:16" x14ac:dyDescent="0.3">
      <c r="I133" s="89"/>
      <c r="J133" s="15"/>
      <c r="K133" s="29"/>
      <c r="L133" s="89"/>
      <c r="M133" s="58"/>
      <c r="N133" s="44"/>
      <c r="O133" s="44"/>
      <c r="P133" s="65"/>
    </row>
    <row r="134" spans="9:16" x14ac:dyDescent="0.3">
      <c r="I134" s="89"/>
      <c r="J134" s="15"/>
      <c r="K134" s="29"/>
      <c r="L134" s="89"/>
      <c r="M134" s="58"/>
      <c r="N134" s="44"/>
      <c r="O134" s="44"/>
      <c r="P134" s="65"/>
    </row>
    <row r="135" spans="9:16" x14ac:dyDescent="0.3">
      <c r="I135" s="89"/>
      <c r="J135" s="15"/>
      <c r="K135" s="29"/>
      <c r="L135" s="89"/>
      <c r="M135" s="58"/>
      <c r="N135" s="44"/>
      <c r="O135" s="44"/>
      <c r="P135" s="65"/>
    </row>
    <row r="136" spans="9:16" x14ac:dyDescent="0.3">
      <c r="I136" s="89"/>
      <c r="J136" s="15"/>
      <c r="K136" s="29"/>
      <c r="L136" s="89"/>
      <c r="M136" s="58"/>
      <c r="N136" s="44"/>
      <c r="O136" s="44"/>
      <c r="P136" s="65"/>
    </row>
    <row r="137" spans="9:16" x14ac:dyDescent="0.3">
      <c r="I137" s="89"/>
      <c r="J137" s="15"/>
      <c r="K137" s="29"/>
      <c r="L137" s="89"/>
      <c r="M137" s="58"/>
      <c r="N137" s="44"/>
      <c r="O137" s="44"/>
      <c r="P137" s="65"/>
    </row>
    <row r="138" spans="9:16" x14ac:dyDescent="0.3">
      <c r="I138" s="89"/>
      <c r="J138" s="15"/>
      <c r="K138" s="29"/>
      <c r="L138" s="89"/>
      <c r="M138" s="58"/>
      <c r="N138" s="44"/>
      <c r="O138" s="44"/>
      <c r="P138" s="65"/>
    </row>
    <row r="139" spans="9:16" x14ac:dyDescent="0.3">
      <c r="I139" s="89"/>
      <c r="J139" s="15"/>
      <c r="K139" s="29"/>
      <c r="L139" s="89"/>
      <c r="M139" s="58"/>
      <c r="N139" s="44"/>
      <c r="O139" s="44"/>
      <c r="P139" s="65"/>
    </row>
    <row r="140" spans="9:16" x14ac:dyDescent="0.3">
      <c r="I140" s="89"/>
      <c r="J140" s="15"/>
      <c r="K140" s="29"/>
      <c r="L140" s="89"/>
      <c r="M140" s="58"/>
      <c r="N140" s="44"/>
      <c r="O140" s="44"/>
      <c r="P140" s="44"/>
    </row>
    <row r="141" spans="9:16" x14ac:dyDescent="0.3">
      <c r="I141" s="89"/>
      <c r="J141" s="15"/>
      <c r="K141" s="29"/>
      <c r="L141" s="89"/>
      <c r="M141" s="58"/>
      <c r="N141" s="44"/>
      <c r="O141" s="44"/>
      <c r="P141" s="65"/>
    </row>
    <row r="142" spans="9:16" x14ac:dyDescent="0.3">
      <c r="I142" s="89"/>
      <c r="J142" s="15"/>
      <c r="K142" s="29"/>
      <c r="L142" s="89"/>
      <c r="M142" s="58"/>
      <c r="N142" s="44"/>
      <c r="O142" s="44"/>
      <c r="P142" s="65"/>
    </row>
    <row r="143" spans="9:16" x14ac:dyDescent="0.3">
      <c r="I143" s="89"/>
      <c r="J143" s="15"/>
      <c r="K143" s="29"/>
      <c r="L143" s="89"/>
      <c r="M143" s="58"/>
      <c r="N143" s="44"/>
      <c r="O143" s="44"/>
      <c r="P143" s="65"/>
    </row>
    <row r="144" spans="9:16" x14ac:dyDescent="0.3">
      <c r="I144" s="89"/>
      <c r="J144" s="15"/>
      <c r="K144" s="29"/>
      <c r="L144" s="89"/>
      <c r="M144" s="58"/>
      <c r="N144" s="44"/>
      <c r="O144" s="44"/>
      <c r="P144" s="65"/>
    </row>
    <row r="145" spans="9:16" x14ac:dyDescent="0.3">
      <c r="I145" s="89"/>
      <c r="J145" s="15"/>
      <c r="K145" s="29"/>
      <c r="L145" s="89"/>
      <c r="M145" s="58"/>
      <c r="N145" s="44"/>
      <c r="O145" s="44"/>
      <c r="P145" s="65"/>
    </row>
    <row r="146" spans="9:16" x14ac:dyDescent="0.3">
      <c r="I146" s="89"/>
      <c r="J146" s="15"/>
      <c r="K146" s="29"/>
      <c r="L146" s="89"/>
      <c r="M146" s="58"/>
      <c r="N146" s="44"/>
      <c r="O146" s="44"/>
      <c r="P146" s="65"/>
    </row>
    <row r="147" spans="9:16" x14ac:dyDescent="0.3">
      <c r="I147" s="89"/>
      <c r="J147" s="15"/>
      <c r="K147" s="29"/>
      <c r="L147" s="89"/>
      <c r="M147" s="58"/>
      <c r="N147" s="44"/>
      <c r="O147" s="44"/>
      <c r="P147" s="65"/>
    </row>
    <row r="148" spans="9:16" x14ac:dyDescent="0.3">
      <c r="I148" s="89"/>
      <c r="J148" s="15"/>
      <c r="K148" s="29"/>
      <c r="L148" s="89"/>
      <c r="M148" s="58"/>
      <c r="N148" s="44"/>
      <c r="O148" s="44"/>
      <c r="P148" s="65"/>
    </row>
    <row r="149" spans="9:16" x14ac:dyDescent="0.3">
      <c r="I149" s="89"/>
      <c r="J149" s="15"/>
      <c r="K149" s="29"/>
      <c r="L149" s="89"/>
      <c r="M149" s="58"/>
      <c r="N149" s="44"/>
      <c r="O149" s="44"/>
      <c r="P149" s="65"/>
    </row>
    <row r="150" spans="9:16" x14ac:dyDescent="0.3">
      <c r="I150" s="89"/>
      <c r="J150" s="15"/>
      <c r="K150" s="29"/>
      <c r="L150" s="89"/>
      <c r="M150" s="58"/>
      <c r="N150" s="44"/>
      <c r="O150" s="44"/>
      <c r="P150" s="65"/>
    </row>
    <row r="151" spans="9:16" x14ac:dyDescent="0.3">
      <c r="I151" s="89"/>
      <c r="J151" s="15"/>
      <c r="K151" s="29"/>
      <c r="L151" s="89"/>
      <c r="M151" s="58"/>
      <c r="N151" s="44"/>
      <c r="O151" s="44"/>
      <c r="P151" s="65"/>
    </row>
    <row r="152" spans="9:16" x14ac:dyDescent="0.3">
      <c r="I152" s="89"/>
      <c r="J152" s="15"/>
      <c r="K152" s="29"/>
      <c r="L152" s="89"/>
      <c r="M152" s="58"/>
      <c r="N152" s="44"/>
      <c r="O152" s="44"/>
      <c r="P152" s="65"/>
    </row>
    <row r="153" spans="9:16" x14ac:dyDescent="0.3">
      <c r="I153" s="89"/>
      <c r="J153" s="15"/>
      <c r="K153" s="29"/>
      <c r="L153" s="89"/>
      <c r="M153" s="58"/>
      <c r="N153" s="44"/>
      <c r="O153" s="44"/>
      <c r="P153" s="65"/>
    </row>
    <row r="154" spans="9:16" x14ac:dyDescent="0.3">
      <c r="I154" s="89"/>
      <c r="J154" s="15"/>
      <c r="K154" s="29"/>
      <c r="L154" s="89"/>
      <c r="M154" s="58"/>
      <c r="N154" s="44"/>
      <c r="O154" s="44"/>
      <c r="P154" s="65"/>
    </row>
    <row r="155" spans="9:16" x14ac:dyDescent="0.3">
      <c r="I155" s="89"/>
      <c r="J155" s="15"/>
      <c r="K155" s="29"/>
      <c r="L155" s="89"/>
      <c r="M155" s="58"/>
      <c r="N155" s="44"/>
      <c r="O155" s="44"/>
      <c r="P155" s="65"/>
    </row>
    <row r="156" spans="9:16" x14ac:dyDescent="0.3">
      <c r="I156" s="89"/>
      <c r="J156" s="15"/>
      <c r="K156" s="29"/>
      <c r="L156" s="89"/>
      <c r="M156" s="58"/>
      <c r="N156" s="44"/>
      <c r="O156" s="44"/>
      <c r="P156" s="65"/>
    </row>
    <row r="157" spans="9:16" x14ac:dyDescent="0.3">
      <c r="I157" s="89"/>
      <c r="J157" s="15"/>
      <c r="K157" s="29"/>
      <c r="L157" s="89"/>
      <c r="M157" s="58"/>
      <c r="N157" s="44"/>
      <c r="O157" s="44"/>
      <c r="P157" s="65"/>
    </row>
    <row r="158" spans="9:16" x14ac:dyDescent="0.3">
      <c r="I158" s="89"/>
      <c r="J158" s="15"/>
      <c r="K158" s="29"/>
      <c r="L158" s="89"/>
      <c r="M158" s="58"/>
      <c r="N158" s="44"/>
      <c r="O158" s="44"/>
      <c r="P158" s="65"/>
    </row>
    <row r="159" spans="9:16" x14ac:dyDescent="0.3">
      <c r="I159" s="89"/>
      <c r="J159" s="15"/>
      <c r="K159" s="29"/>
      <c r="L159" s="89"/>
      <c r="M159" s="58"/>
      <c r="N159" s="44"/>
      <c r="O159" s="44"/>
      <c r="P159" s="65"/>
    </row>
    <row r="160" spans="9:16" x14ac:dyDescent="0.3">
      <c r="I160" s="89"/>
      <c r="J160" s="15"/>
      <c r="K160" s="29"/>
      <c r="L160" s="89"/>
      <c r="M160" s="58"/>
      <c r="N160" s="44"/>
      <c r="O160" s="44"/>
      <c r="P160" s="65"/>
    </row>
    <row r="161" spans="9:16" x14ac:dyDescent="0.3">
      <c r="I161" s="89"/>
      <c r="J161" s="15"/>
      <c r="K161" s="29"/>
      <c r="L161" s="89"/>
      <c r="M161" s="58"/>
      <c r="N161" s="44"/>
      <c r="O161" s="44"/>
      <c r="P161" s="65"/>
    </row>
    <row r="162" spans="9:16" x14ac:dyDescent="0.3">
      <c r="I162" s="89"/>
      <c r="J162" s="15"/>
      <c r="K162" s="29"/>
      <c r="L162" s="89"/>
      <c r="M162" s="58"/>
      <c r="N162" s="44"/>
      <c r="O162" s="44"/>
      <c r="P162" s="65"/>
    </row>
    <row r="163" spans="9:16" x14ac:dyDescent="0.3">
      <c r="I163" s="89"/>
      <c r="J163" s="15"/>
      <c r="K163" s="29"/>
      <c r="L163" s="89"/>
      <c r="M163" s="58"/>
      <c r="N163" s="44"/>
      <c r="O163" s="44"/>
      <c r="P163" s="65"/>
    </row>
    <row r="164" spans="9:16" x14ac:dyDescent="0.3">
      <c r="I164" s="89"/>
      <c r="J164" s="15"/>
      <c r="K164" s="29"/>
      <c r="L164" s="89"/>
      <c r="M164" s="58"/>
      <c r="N164" s="44"/>
      <c r="O164" s="44"/>
      <c r="P164" s="65"/>
    </row>
    <row r="165" spans="9:16" x14ac:dyDescent="0.3">
      <c r="I165" s="89"/>
      <c r="J165" s="15"/>
      <c r="K165" s="29"/>
      <c r="L165" s="89"/>
      <c r="M165" s="58"/>
      <c r="N165" s="44"/>
      <c r="O165" s="44"/>
      <c r="P165" s="65"/>
    </row>
    <row r="166" spans="9:16" x14ac:dyDescent="0.3">
      <c r="I166" s="89"/>
      <c r="J166" s="15"/>
      <c r="K166" s="29"/>
      <c r="L166" s="89"/>
      <c r="M166" s="58"/>
      <c r="N166" s="44"/>
      <c r="O166" s="44"/>
      <c r="P166" s="65"/>
    </row>
    <row r="167" spans="9:16" x14ac:dyDescent="0.3">
      <c r="I167" s="89"/>
      <c r="J167" s="15"/>
      <c r="K167" s="29"/>
      <c r="L167" s="89"/>
      <c r="M167" s="58"/>
      <c r="N167" s="44"/>
      <c r="O167" s="44"/>
      <c r="P167" s="65"/>
    </row>
    <row r="168" spans="9:16" x14ac:dyDescent="0.3">
      <c r="I168" s="89"/>
      <c r="J168" s="15"/>
      <c r="K168" s="29"/>
      <c r="L168" s="89"/>
      <c r="M168" s="58"/>
      <c r="N168" s="44"/>
      <c r="O168" s="44"/>
      <c r="P168" s="65"/>
    </row>
    <row r="169" spans="9:16" x14ac:dyDescent="0.3">
      <c r="I169" s="89"/>
      <c r="J169" s="15"/>
      <c r="K169" s="29"/>
      <c r="L169" s="89"/>
      <c r="M169" s="58"/>
      <c r="N169" s="44"/>
      <c r="O169" s="44"/>
      <c r="P169" s="65"/>
    </row>
    <row r="170" spans="9:16" x14ac:dyDescent="0.3">
      <c r="I170" s="89"/>
      <c r="J170" s="15"/>
      <c r="K170" s="29"/>
      <c r="L170" s="89"/>
      <c r="M170" s="58"/>
      <c r="N170" s="44"/>
      <c r="O170" s="44"/>
      <c r="P170" s="65"/>
    </row>
    <row r="171" spans="9:16" x14ac:dyDescent="0.3">
      <c r="I171" s="89"/>
      <c r="J171" s="15"/>
      <c r="K171" s="29"/>
      <c r="L171" s="89"/>
      <c r="M171" s="58"/>
      <c r="N171" s="44"/>
      <c r="O171" s="44"/>
      <c r="P171" s="65"/>
    </row>
    <row r="172" spans="9:16" x14ac:dyDescent="0.3">
      <c r="I172" s="89"/>
      <c r="J172" s="15"/>
      <c r="K172" s="29"/>
      <c r="L172" s="89"/>
      <c r="M172" s="58"/>
      <c r="N172" s="44"/>
      <c r="O172" s="44"/>
      <c r="P172" s="65"/>
    </row>
    <row r="173" spans="9:16" x14ac:dyDescent="0.3">
      <c r="I173" s="89"/>
      <c r="J173" s="15"/>
      <c r="K173" s="29"/>
      <c r="L173" s="89"/>
      <c r="M173" s="58"/>
      <c r="N173" s="44"/>
      <c r="O173" s="44"/>
      <c r="P173" s="65"/>
    </row>
    <row r="174" spans="9:16" x14ac:dyDescent="0.3">
      <c r="I174" s="89"/>
      <c r="J174" s="15"/>
      <c r="K174" s="29"/>
      <c r="L174" s="89"/>
      <c r="M174" s="58"/>
      <c r="N174" s="44"/>
      <c r="O174" s="44"/>
      <c r="P174" s="65"/>
    </row>
    <row r="175" spans="9:16" x14ac:dyDescent="0.3">
      <c r="I175" s="89"/>
      <c r="J175" s="15"/>
      <c r="K175" s="29"/>
      <c r="L175" s="89"/>
      <c r="M175" s="58"/>
      <c r="N175" s="44"/>
      <c r="O175" s="44"/>
      <c r="P175" s="65"/>
    </row>
    <row r="176" spans="9:16" x14ac:dyDescent="0.3">
      <c r="I176" s="89"/>
      <c r="J176" s="15"/>
      <c r="K176" s="29"/>
      <c r="L176" s="89"/>
      <c r="M176" s="58"/>
      <c r="N176" s="44"/>
      <c r="O176" s="44"/>
      <c r="P176" s="65"/>
    </row>
    <row r="177" spans="9:16" x14ac:dyDescent="0.3">
      <c r="I177" s="89"/>
      <c r="J177" s="15"/>
      <c r="K177" s="29"/>
      <c r="L177" s="89"/>
      <c r="M177" s="58"/>
      <c r="N177" s="44"/>
      <c r="O177" s="44"/>
      <c r="P177" s="65"/>
    </row>
    <row r="178" spans="9:16" x14ac:dyDescent="0.3">
      <c r="I178" s="89"/>
      <c r="J178" s="15"/>
      <c r="K178" s="29"/>
      <c r="L178" s="89"/>
      <c r="M178" s="58"/>
      <c r="N178" s="44"/>
      <c r="O178" s="44"/>
      <c r="P178" s="65"/>
    </row>
    <row r="179" spans="9:16" x14ac:dyDescent="0.3">
      <c r="I179" s="89"/>
      <c r="J179" s="15"/>
      <c r="K179" s="29"/>
      <c r="L179" s="89"/>
      <c r="M179" s="58"/>
      <c r="N179" s="44"/>
      <c r="O179" s="44"/>
      <c r="P179" s="65"/>
    </row>
    <row r="180" spans="9:16" x14ac:dyDescent="0.3">
      <c r="I180" s="89"/>
      <c r="J180" s="15"/>
      <c r="K180" s="29"/>
      <c r="L180" s="89"/>
      <c r="M180" s="58"/>
      <c r="N180" s="44"/>
      <c r="O180" s="44"/>
      <c r="P180" s="65"/>
    </row>
    <row r="181" spans="9:16" x14ac:dyDescent="0.3">
      <c r="I181" s="89"/>
      <c r="J181" s="15"/>
      <c r="K181" s="29"/>
      <c r="L181" s="89"/>
      <c r="M181" s="58"/>
      <c r="N181" s="44"/>
      <c r="O181" s="44"/>
      <c r="P181" s="65"/>
    </row>
    <row r="182" spans="9:16" x14ac:dyDescent="0.3">
      <c r="I182" s="89"/>
      <c r="J182" s="15"/>
      <c r="K182" s="29"/>
      <c r="L182" s="89"/>
      <c r="M182" s="58"/>
      <c r="N182" s="44"/>
      <c r="O182" s="44"/>
      <c r="P182" s="65"/>
    </row>
    <row r="183" spans="9:16" x14ac:dyDescent="0.3">
      <c r="I183" s="89"/>
      <c r="J183" s="15"/>
      <c r="K183" s="29"/>
      <c r="L183" s="89"/>
      <c r="M183" s="58"/>
      <c r="N183" s="44"/>
      <c r="O183" s="44"/>
      <c r="P183" s="65"/>
    </row>
    <row r="184" spans="9:16" x14ac:dyDescent="0.3">
      <c r="I184" s="89"/>
      <c r="J184" s="15"/>
      <c r="K184" s="29"/>
      <c r="L184" s="89"/>
      <c r="M184" s="58"/>
      <c r="N184" s="44"/>
      <c r="O184" s="44"/>
      <c r="P184" s="65"/>
    </row>
    <row r="185" spans="9:16" x14ac:dyDescent="0.3">
      <c r="I185" s="89"/>
      <c r="J185" s="15"/>
      <c r="K185" s="29"/>
      <c r="L185" s="89"/>
      <c r="M185" s="58"/>
      <c r="N185" s="44"/>
      <c r="O185" s="44"/>
      <c r="P185" s="65"/>
    </row>
    <row r="186" spans="9:16" x14ac:dyDescent="0.3">
      <c r="I186" s="89"/>
      <c r="J186" s="15"/>
      <c r="K186" s="29"/>
      <c r="L186" s="89"/>
      <c r="M186" s="58"/>
      <c r="N186" s="44"/>
      <c r="O186" s="44"/>
      <c r="P186" s="65"/>
    </row>
    <row r="187" spans="9:16" x14ac:dyDescent="0.3">
      <c r="I187" s="89"/>
      <c r="J187" s="15"/>
      <c r="K187" s="29"/>
      <c r="L187" s="89"/>
      <c r="M187" s="58"/>
      <c r="N187" s="44"/>
      <c r="O187" s="44"/>
      <c r="P187" s="65"/>
    </row>
    <row r="188" spans="9:16" x14ac:dyDescent="0.3">
      <c r="I188" s="89"/>
      <c r="J188" s="15"/>
      <c r="K188" s="29"/>
      <c r="L188" s="89"/>
      <c r="M188" s="58"/>
      <c r="N188" s="44"/>
      <c r="O188" s="44"/>
      <c r="P188" s="65"/>
    </row>
    <row r="189" spans="9:16" x14ac:dyDescent="0.3">
      <c r="I189" s="89"/>
      <c r="J189" s="15"/>
      <c r="K189" s="29"/>
      <c r="L189" s="89"/>
      <c r="M189" s="58"/>
      <c r="N189" s="44"/>
      <c r="O189" s="44"/>
      <c r="P189" s="65"/>
    </row>
    <row r="190" spans="9:16" x14ac:dyDescent="0.3">
      <c r="I190" s="89"/>
      <c r="J190" s="15"/>
      <c r="K190" s="29"/>
      <c r="L190" s="89"/>
      <c r="M190" s="58"/>
      <c r="N190" s="44"/>
      <c r="O190" s="44"/>
      <c r="P190" s="65"/>
    </row>
    <row r="191" spans="9:16" x14ac:dyDescent="0.3">
      <c r="I191" s="89"/>
      <c r="J191" s="15"/>
      <c r="K191" s="29"/>
      <c r="L191" s="89"/>
      <c r="M191" s="58"/>
      <c r="N191" s="44"/>
      <c r="O191" s="44"/>
      <c r="P191" s="65"/>
    </row>
    <row r="192" spans="9:16" x14ac:dyDescent="0.3">
      <c r="I192" s="89"/>
      <c r="J192" s="15"/>
      <c r="K192" s="29"/>
      <c r="L192" s="89"/>
      <c r="M192" s="58"/>
      <c r="N192" s="44"/>
      <c r="O192" s="44"/>
      <c r="P192" s="65"/>
    </row>
    <row r="193" spans="9:16" x14ac:dyDescent="0.3">
      <c r="I193" s="89"/>
      <c r="J193" s="15"/>
      <c r="K193" s="29"/>
      <c r="L193" s="89"/>
      <c r="M193" s="58"/>
      <c r="N193" s="44"/>
      <c r="O193" s="44"/>
      <c r="P193" s="65"/>
    </row>
    <row r="194" spans="9:16" x14ac:dyDescent="0.3">
      <c r="I194" s="89"/>
      <c r="J194" s="15"/>
      <c r="K194" s="29"/>
      <c r="L194" s="89"/>
      <c r="M194" s="58"/>
      <c r="N194" s="44"/>
      <c r="O194" s="44"/>
      <c r="P194" s="65"/>
    </row>
    <row r="195" spans="9:16" x14ac:dyDescent="0.3">
      <c r="I195" s="89"/>
      <c r="J195" s="15"/>
      <c r="K195" s="29"/>
      <c r="L195" s="89"/>
      <c r="M195" s="58"/>
      <c r="N195" s="44"/>
      <c r="O195" s="44"/>
      <c r="P195" s="65"/>
    </row>
    <row r="196" spans="9:16" x14ac:dyDescent="0.3">
      <c r="I196" s="89"/>
      <c r="J196" s="15"/>
      <c r="K196" s="29"/>
      <c r="L196" s="89"/>
      <c r="M196" s="58"/>
      <c r="N196" s="44"/>
      <c r="O196" s="44"/>
      <c r="P196" s="65"/>
    </row>
    <row r="197" spans="9:16" x14ac:dyDescent="0.3">
      <c r="I197" s="89"/>
      <c r="J197" s="15"/>
      <c r="K197" s="29"/>
      <c r="L197" s="89"/>
      <c r="M197" s="58"/>
      <c r="N197" s="44"/>
      <c r="O197" s="44"/>
      <c r="P197" s="65"/>
    </row>
    <row r="198" spans="9:16" x14ac:dyDescent="0.3">
      <c r="I198" s="89"/>
      <c r="J198" s="15"/>
      <c r="K198" s="29"/>
      <c r="L198" s="89"/>
      <c r="M198" s="58"/>
      <c r="N198" s="44"/>
      <c r="O198" s="44"/>
      <c r="P198" s="65"/>
    </row>
    <row r="199" spans="9:16" x14ac:dyDescent="0.3">
      <c r="I199" s="89"/>
      <c r="J199" s="15"/>
      <c r="K199" s="29"/>
      <c r="L199" s="89"/>
      <c r="M199" s="58"/>
      <c r="N199" s="44"/>
      <c r="O199" s="44"/>
      <c r="P199" s="65"/>
    </row>
    <row r="200" spans="9:16" x14ac:dyDescent="0.3">
      <c r="I200" s="89"/>
      <c r="J200" s="15"/>
      <c r="K200" s="29"/>
      <c r="L200" s="89"/>
      <c r="M200" s="58"/>
      <c r="N200" s="44"/>
      <c r="O200" s="44"/>
      <c r="P200" s="65"/>
    </row>
    <row r="201" spans="9:16" x14ac:dyDescent="0.3">
      <c r="I201" s="89"/>
      <c r="J201" s="15"/>
      <c r="K201" s="29"/>
      <c r="L201" s="89"/>
      <c r="M201" s="58"/>
      <c r="N201" s="44"/>
      <c r="O201" s="44"/>
      <c r="P201" s="65"/>
    </row>
    <row r="202" spans="9:16" x14ac:dyDescent="0.3">
      <c r="I202" s="89"/>
      <c r="J202" s="15"/>
      <c r="K202" s="29"/>
      <c r="L202" s="89"/>
      <c r="M202" s="58"/>
      <c r="N202" s="44"/>
      <c r="O202" s="44"/>
      <c r="P202" s="65"/>
    </row>
    <row r="203" spans="9:16" x14ac:dyDescent="0.3">
      <c r="I203" s="89"/>
      <c r="J203" s="15"/>
      <c r="K203" s="29"/>
      <c r="L203" s="89"/>
      <c r="M203" s="58"/>
      <c r="N203" s="44"/>
      <c r="O203" s="44"/>
      <c r="P203" s="65"/>
    </row>
    <row r="204" spans="9:16" x14ac:dyDescent="0.3">
      <c r="I204" s="89"/>
      <c r="J204" s="15"/>
      <c r="K204" s="29"/>
      <c r="L204" s="89"/>
      <c r="M204" s="58"/>
      <c r="N204" s="44"/>
      <c r="O204" s="44"/>
      <c r="P204" s="65"/>
    </row>
    <row r="205" spans="9:16" x14ac:dyDescent="0.3">
      <c r="I205" s="89"/>
      <c r="J205" s="15"/>
      <c r="K205" s="29"/>
      <c r="L205" s="89"/>
      <c r="M205" s="58"/>
      <c r="N205" s="44"/>
      <c r="O205" s="44"/>
      <c r="P205" s="65"/>
    </row>
    <row r="206" spans="9:16" x14ac:dyDescent="0.3">
      <c r="I206" s="89"/>
      <c r="J206" s="15"/>
      <c r="K206" s="29"/>
      <c r="L206" s="89"/>
      <c r="M206" s="58"/>
      <c r="N206" s="44"/>
      <c r="O206" s="44"/>
      <c r="P206" s="65"/>
    </row>
    <row r="207" spans="9:16" x14ac:dyDescent="0.3">
      <c r="I207" s="89"/>
      <c r="J207" s="15"/>
      <c r="K207" s="29"/>
      <c r="L207" s="89"/>
      <c r="M207" s="58"/>
      <c r="N207" s="44"/>
      <c r="O207" s="44"/>
      <c r="P207" s="65"/>
    </row>
    <row r="208" spans="9:16" x14ac:dyDescent="0.3">
      <c r="I208" s="89"/>
      <c r="J208" s="15"/>
      <c r="K208" s="29"/>
      <c r="L208" s="89"/>
      <c r="M208" s="58"/>
      <c r="N208" s="44"/>
      <c r="O208" s="44"/>
      <c r="P208" s="65"/>
    </row>
    <row r="209" spans="9:16" x14ac:dyDescent="0.3">
      <c r="I209" s="89"/>
      <c r="J209" s="15"/>
      <c r="K209" s="29"/>
      <c r="L209" s="89"/>
      <c r="M209" s="58"/>
      <c r="N209" s="44"/>
      <c r="O209" s="44"/>
      <c r="P209" s="65"/>
    </row>
    <row r="210" spans="9:16" x14ac:dyDescent="0.3">
      <c r="I210" s="89"/>
      <c r="J210" s="15"/>
      <c r="K210" s="29"/>
      <c r="L210" s="89"/>
      <c r="M210" s="58"/>
      <c r="N210" s="44"/>
      <c r="O210" s="44"/>
      <c r="P210" s="65"/>
    </row>
    <row r="211" spans="9:16" x14ac:dyDescent="0.3">
      <c r="I211" s="89"/>
      <c r="J211" s="15"/>
      <c r="K211" s="29"/>
      <c r="L211" s="89"/>
      <c r="M211" s="58"/>
      <c r="N211" s="44"/>
      <c r="O211" s="44"/>
      <c r="P211" s="65"/>
    </row>
    <row r="212" spans="9:16" x14ac:dyDescent="0.3">
      <c r="I212" s="89"/>
      <c r="J212" s="15"/>
      <c r="K212" s="29"/>
      <c r="L212" s="89"/>
      <c r="M212" s="58"/>
      <c r="N212" s="44"/>
      <c r="O212" s="44"/>
      <c r="P212" s="65"/>
    </row>
    <row r="213" spans="9:16" x14ac:dyDescent="0.3">
      <c r="I213" s="89"/>
      <c r="J213" s="15"/>
      <c r="K213" s="29"/>
      <c r="L213" s="89"/>
      <c r="M213" s="58"/>
      <c r="N213" s="44"/>
      <c r="O213" s="44"/>
      <c r="P213" s="65"/>
    </row>
    <row r="214" spans="9:16" x14ac:dyDescent="0.3">
      <c r="I214" s="89"/>
      <c r="J214" s="15"/>
      <c r="K214" s="29"/>
      <c r="L214" s="89"/>
      <c r="M214" s="58"/>
      <c r="N214" s="44"/>
      <c r="O214" s="44"/>
      <c r="P214" s="65"/>
    </row>
    <row r="215" spans="9:16" x14ac:dyDescent="0.3">
      <c r="I215" s="89"/>
      <c r="J215" s="15"/>
      <c r="K215" s="29"/>
      <c r="L215" s="89"/>
      <c r="M215" s="58"/>
      <c r="N215" s="44"/>
      <c r="O215" s="44"/>
      <c r="P215" s="65"/>
    </row>
    <row r="216" spans="9:16" x14ac:dyDescent="0.3">
      <c r="I216" s="89"/>
      <c r="J216" s="15"/>
      <c r="K216" s="29"/>
      <c r="L216" s="89"/>
      <c r="M216" s="58"/>
      <c r="N216" s="44"/>
      <c r="O216" s="44"/>
      <c r="P216" s="65"/>
    </row>
    <row r="217" spans="9:16" x14ac:dyDescent="0.3">
      <c r="I217" s="89"/>
      <c r="J217" s="15"/>
      <c r="K217" s="29"/>
      <c r="L217" s="89"/>
      <c r="M217" s="58"/>
      <c r="N217" s="44"/>
      <c r="O217" s="44"/>
      <c r="P217" s="65"/>
    </row>
    <row r="218" spans="9:16" x14ac:dyDescent="0.3">
      <c r="I218" s="89"/>
      <c r="J218" s="15"/>
      <c r="K218" s="29"/>
      <c r="L218" s="89"/>
      <c r="M218" s="58"/>
      <c r="N218" s="44"/>
      <c r="O218" s="44"/>
      <c r="P218" s="65"/>
    </row>
    <row r="219" spans="9:16" x14ac:dyDescent="0.3">
      <c r="I219" s="89"/>
      <c r="J219" s="15"/>
      <c r="K219" s="29"/>
      <c r="L219" s="89"/>
      <c r="M219" s="58"/>
      <c r="N219" s="44"/>
      <c r="O219" s="44"/>
      <c r="P219" s="65"/>
    </row>
    <row r="220" spans="9:16" x14ac:dyDescent="0.3">
      <c r="I220" s="89"/>
      <c r="J220" s="15"/>
      <c r="K220" s="29"/>
      <c r="L220" s="89"/>
      <c r="M220" s="58"/>
      <c r="N220" s="44"/>
      <c r="O220" s="44"/>
      <c r="P220" s="65"/>
    </row>
    <row r="221" spans="9:16" x14ac:dyDescent="0.3">
      <c r="I221" s="89"/>
      <c r="J221" s="15"/>
      <c r="K221" s="29"/>
      <c r="L221" s="89"/>
      <c r="M221" s="58"/>
      <c r="N221" s="44"/>
      <c r="O221" s="44"/>
      <c r="P221" s="65"/>
    </row>
    <row r="222" spans="9:16" x14ac:dyDescent="0.3">
      <c r="I222" s="89"/>
      <c r="J222" s="15"/>
      <c r="K222" s="29"/>
      <c r="L222" s="89"/>
      <c r="M222" s="58"/>
      <c r="N222" s="44"/>
      <c r="O222" s="44"/>
      <c r="P222" s="65"/>
    </row>
    <row r="223" spans="9:16" x14ac:dyDescent="0.3">
      <c r="I223" s="89"/>
      <c r="J223" s="15"/>
      <c r="K223" s="29"/>
      <c r="L223" s="89"/>
      <c r="M223" s="58"/>
      <c r="N223" s="44"/>
      <c r="O223" s="44"/>
      <c r="P223" s="65"/>
    </row>
    <row r="224" spans="9:16" x14ac:dyDescent="0.3">
      <c r="I224" s="89"/>
      <c r="J224" s="15"/>
      <c r="K224" s="29"/>
      <c r="L224" s="89"/>
      <c r="M224" s="58"/>
      <c r="N224" s="44"/>
      <c r="O224" s="44"/>
      <c r="P224" s="65"/>
    </row>
    <row r="225" spans="9:16" x14ac:dyDescent="0.3">
      <c r="I225" s="89"/>
      <c r="J225" s="15"/>
      <c r="K225" s="29"/>
      <c r="L225" s="89"/>
      <c r="M225" s="58"/>
      <c r="N225" s="44"/>
      <c r="O225" s="44"/>
      <c r="P225" s="65"/>
    </row>
    <row r="226" spans="9:16" x14ac:dyDescent="0.3">
      <c r="I226" s="89"/>
      <c r="J226" s="15"/>
      <c r="K226" s="29"/>
      <c r="L226" s="89"/>
      <c r="M226" s="58"/>
      <c r="N226" s="44"/>
      <c r="O226" s="44"/>
      <c r="P226" s="65"/>
    </row>
    <row r="227" spans="9:16" x14ac:dyDescent="0.3">
      <c r="I227" s="89"/>
      <c r="J227" s="15"/>
      <c r="K227" s="29"/>
      <c r="L227" s="89"/>
      <c r="M227" s="58"/>
      <c r="N227" s="44"/>
      <c r="O227" s="44"/>
      <c r="P227" s="65"/>
    </row>
    <row r="228" spans="9:16" x14ac:dyDescent="0.3">
      <c r="I228" s="89"/>
      <c r="J228" s="15"/>
      <c r="K228" s="29"/>
      <c r="L228" s="89"/>
      <c r="M228" s="58"/>
      <c r="N228" s="44"/>
      <c r="O228" s="44"/>
      <c r="P228" s="65"/>
    </row>
    <row r="229" spans="9:16" x14ac:dyDescent="0.3">
      <c r="I229" s="89"/>
      <c r="J229" s="15"/>
      <c r="K229" s="29"/>
      <c r="L229" s="89"/>
      <c r="M229" s="58"/>
      <c r="N229" s="44"/>
      <c r="O229" s="44"/>
      <c r="P229" s="65"/>
    </row>
    <row r="230" spans="9:16" x14ac:dyDescent="0.3">
      <c r="I230" s="89"/>
      <c r="J230" s="15"/>
      <c r="K230" s="29"/>
      <c r="L230" s="89"/>
      <c r="M230" s="58"/>
      <c r="N230" s="44"/>
      <c r="O230" s="44"/>
      <c r="P230" s="65"/>
    </row>
    <row r="231" spans="9:16" x14ac:dyDescent="0.3">
      <c r="I231" s="89"/>
      <c r="J231" s="15"/>
      <c r="K231" s="29"/>
      <c r="L231" s="89"/>
      <c r="M231" s="58"/>
      <c r="N231" s="44"/>
      <c r="O231" s="44"/>
      <c r="P231" s="65"/>
    </row>
    <row r="232" spans="9:16" x14ac:dyDescent="0.3">
      <c r="I232" s="89"/>
      <c r="J232" s="15"/>
      <c r="K232" s="29"/>
      <c r="L232" s="89"/>
      <c r="M232" s="58"/>
      <c r="N232" s="44"/>
      <c r="O232" s="44"/>
      <c r="P232" s="65"/>
    </row>
    <row r="233" spans="9:16" x14ac:dyDescent="0.3">
      <c r="I233" s="89"/>
      <c r="J233" s="15"/>
      <c r="K233" s="29"/>
      <c r="L233" s="89"/>
      <c r="M233" s="58"/>
      <c r="N233" s="44"/>
      <c r="O233" s="44"/>
      <c r="P233" s="65"/>
    </row>
    <row r="234" spans="9:16" x14ac:dyDescent="0.3">
      <c r="I234" s="89"/>
      <c r="J234" s="15"/>
      <c r="K234" s="29"/>
      <c r="L234" s="89"/>
      <c r="M234" s="58"/>
      <c r="N234" s="44"/>
      <c r="O234" s="44"/>
      <c r="P234" s="65"/>
    </row>
    <row r="235" spans="9:16" x14ac:dyDescent="0.3">
      <c r="I235" s="89"/>
      <c r="J235" s="15"/>
      <c r="K235" s="29"/>
      <c r="L235" s="89"/>
      <c r="M235" s="58"/>
      <c r="N235" s="44"/>
      <c r="O235" s="44"/>
      <c r="P235" s="65"/>
    </row>
    <row r="236" spans="9:16" x14ac:dyDescent="0.3">
      <c r="I236" s="89"/>
      <c r="J236" s="15"/>
      <c r="K236" s="29"/>
      <c r="L236" s="89"/>
      <c r="M236" s="58"/>
      <c r="N236" s="44"/>
      <c r="O236" s="44"/>
      <c r="P236" s="65"/>
    </row>
    <row r="237" spans="9:16" x14ac:dyDescent="0.3">
      <c r="I237" s="89"/>
      <c r="J237" s="15"/>
      <c r="K237" s="29"/>
      <c r="L237" s="89"/>
      <c r="M237" s="58"/>
      <c r="N237" s="44"/>
      <c r="O237" s="44"/>
      <c r="P237" s="65"/>
    </row>
    <row r="238" spans="9:16" x14ac:dyDescent="0.3">
      <c r="I238" s="89"/>
      <c r="J238" s="15"/>
      <c r="K238" s="29"/>
      <c r="L238" s="89"/>
      <c r="M238" s="58"/>
      <c r="N238" s="44"/>
      <c r="O238" s="44"/>
      <c r="P238" s="65"/>
    </row>
    <row r="239" spans="9:16" x14ac:dyDescent="0.3">
      <c r="I239" s="89"/>
      <c r="J239" s="15"/>
      <c r="K239" s="29"/>
      <c r="L239" s="89"/>
      <c r="M239" s="58"/>
      <c r="N239" s="44"/>
      <c r="O239" s="44"/>
      <c r="P239" s="65"/>
    </row>
    <row r="240" spans="9:16" x14ac:dyDescent="0.3">
      <c r="I240" s="89"/>
      <c r="J240" s="15"/>
      <c r="K240" s="29"/>
      <c r="L240" s="89"/>
      <c r="M240" s="58"/>
      <c r="N240" s="44"/>
      <c r="O240" s="44"/>
      <c r="P240" s="65"/>
    </row>
    <row r="241" spans="9:16" x14ac:dyDescent="0.3">
      <c r="I241" s="89"/>
      <c r="J241" s="15"/>
      <c r="K241" s="29"/>
      <c r="L241" s="89"/>
      <c r="M241" s="58"/>
      <c r="N241" s="44"/>
      <c r="O241" s="44"/>
      <c r="P241" s="65"/>
    </row>
    <row r="242" spans="9:16" x14ac:dyDescent="0.3">
      <c r="I242" s="89"/>
      <c r="J242" s="15"/>
      <c r="K242" s="29"/>
      <c r="L242" s="89"/>
      <c r="M242" s="58"/>
      <c r="N242" s="44"/>
      <c r="O242" s="44"/>
      <c r="P242" s="65"/>
    </row>
    <row r="243" spans="9:16" x14ac:dyDescent="0.3">
      <c r="I243" s="89"/>
      <c r="J243" s="15"/>
      <c r="K243" s="29"/>
      <c r="L243" s="89"/>
      <c r="M243" s="58"/>
      <c r="N243" s="44"/>
      <c r="O243" s="44"/>
      <c r="P243" s="65"/>
    </row>
    <row r="244" spans="9:16" x14ac:dyDescent="0.3">
      <c r="I244" s="89"/>
      <c r="J244" s="15"/>
      <c r="K244" s="29"/>
      <c r="L244" s="89"/>
      <c r="M244" s="58"/>
      <c r="N244" s="44"/>
      <c r="O244" s="44"/>
      <c r="P244" s="65"/>
    </row>
    <row r="245" spans="9:16" x14ac:dyDescent="0.3">
      <c r="I245" s="89"/>
      <c r="J245" s="15"/>
      <c r="K245" s="29"/>
      <c r="L245" s="89"/>
      <c r="M245" s="58"/>
      <c r="N245" s="44"/>
      <c r="O245" s="44"/>
      <c r="P245" s="65"/>
    </row>
    <row r="246" spans="9:16" x14ac:dyDescent="0.3">
      <c r="I246" s="89"/>
      <c r="J246" s="15"/>
      <c r="K246" s="29"/>
      <c r="L246" s="89"/>
      <c r="M246" s="58"/>
      <c r="N246" s="44"/>
      <c r="O246" s="44"/>
      <c r="P246" s="65"/>
    </row>
    <row r="247" spans="9:16" x14ac:dyDescent="0.3">
      <c r="I247" s="89"/>
      <c r="J247" s="15"/>
      <c r="K247" s="29"/>
      <c r="L247" s="89"/>
      <c r="M247" s="58"/>
      <c r="N247" s="44"/>
      <c r="O247" s="44"/>
      <c r="P247" s="65"/>
    </row>
    <row r="248" spans="9:16" x14ac:dyDescent="0.3">
      <c r="I248" s="89"/>
      <c r="J248" s="15"/>
      <c r="K248" s="29"/>
      <c r="L248" s="89"/>
      <c r="M248" s="58"/>
      <c r="N248" s="44"/>
      <c r="O248" s="44"/>
      <c r="P248" s="65"/>
    </row>
    <row r="249" spans="9:16" x14ac:dyDescent="0.3">
      <c r="I249" s="89"/>
      <c r="J249" s="15"/>
      <c r="K249" s="29"/>
      <c r="L249" s="89"/>
      <c r="M249" s="58"/>
      <c r="N249" s="44"/>
      <c r="O249" s="44"/>
      <c r="P249" s="65"/>
    </row>
    <row r="250" spans="9:16" x14ac:dyDescent="0.3">
      <c r="I250" s="89"/>
      <c r="J250" s="15"/>
      <c r="K250" s="29"/>
      <c r="L250" s="89"/>
      <c r="M250" s="58"/>
      <c r="N250" s="44"/>
      <c r="O250" s="44"/>
      <c r="P250" s="65"/>
    </row>
    <row r="251" spans="9:16" x14ac:dyDescent="0.3">
      <c r="I251" s="89"/>
      <c r="J251" s="15"/>
      <c r="K251" s="29"/>
      <c r="L251" s="89"/>
      <c r="M251" s="58"/>
      <c r="N251" s="44"/>
      <c r="O251" s="44"/>
      <c r="P251" s="65"/>
    </row>
    <row r="252" spans="9:16" x14ac:dyDescent="0.3">
      <c r="I252" s="89"/>
      <c r="J252" s="15"/>
      <c r="K252" s="29"/>
      <c r="L252" s="89"/>
      <c r="M252" s="58"/>
      <c r="N252" s="44"/>
      <c r="O252" s="44"/>
      <c r="P252" s="65"/>
    </row>
    <row r="253" spans="9:16" x14ac:dyDescent="0.3">
      <c r="I253" s="89"/>
      <c r="J253" s="15"/>
      <c r="K253" s="29"/>
      <c r="L253" s="89"/>
      <c r="M253" s="58"/>
      <c r="N253" s="44"/>
      <c r="O253" s="44"/>
      <c r="P253" s="65"/>
    </row>
    <row r="254" spans="9:16" x14ac:dyDescent="0.3">
      <c r="I254" s="89"/>
      <c r="J254" s="15"/>
      <c r="K254" s="29"/>
      <c r="L254" s="89"/>
      <c r="M254" s="58"/>
      <c r="N254" s="44"/>
      <c r="O254" s="44"/>
      <c r="P254" s="65"/>
    </row>
    <row r="255" spans="9:16" x14ac:dyDescent="0.3">
      <c r="I255" s="89"/>
      <c r="J255" s="15"/>
      <c r="K255" s="29"/>
      <c r="L255" s="89"/>
      <c r="M255" s="58"/>
      <c r="N255" s="44"/>
      <c r="O255" s="44"/>
      <c r="P255" s="65"/>
    </row>
    <row r="256" spans="9:16" x14ac:dyDescent="0.3">
      <c r="I256" s="89"/>
      <c r="J256" s="15"/>
      <c r="K256" s="29"/>
      <c r="L256" s="89"/>
      <c r="M256" s="58"/>
      <c r="N256" s="44"/>
      <c r="O256" s="44"/>
      <c r="P256" s="65"/>
    </row>
    <row r="257" spans="9:16" x14ac:dyDescent="0.3">
      <c r="I257" s="89"/>
      <c r="J257" s="15"/>
      <c r="K257" s="29"/>
      <c r="L257" s="89"/>
      <c r="M257" s="58"/>
      <c r="N257" s="44"/>
      <c r="O257" s="44"/>
      <c r="P257" s="65"/>
    </row>
    <row r="258" spans="9:16" x14ac:dyDescent="0.3">
      <c r="I258" s="89"/>
      <c r="J258" s="15"/>
      <c r="K258" s="29"/>
      <c r="L258" s="89"/>
      <c r="M258" s="58"/>
      <c r="N258" s="44"/>
      <c r="O258" s="44"/>
      <c r="P258" s="65"/>
    </row>
    <row r="259" spans="9:16" x14ac:dyDescent="0.3">
      <c r="I259" s="89"/>
      <c r="J259" s="15"/>
      <c r="K259" s="29"/>
      <c r="L259" s="89"/>
      <c r="M259" s="58"/>
      <c r="N259" s="44"/>
      <c r="O259" s="44"/>
      <c r="P259" s="65"/>
    </row>
    <row r="260" spans="9:16" x14ac:dyDescent="0.3">
      <c r="I260" s="89"/>
      <c r="J260" s="15"/>
      <c r="K260" s="29"/>
      <c r="L260" s="89"/>
      <c r="M260" s="58"/>
      <c r="N260" s="44"/>
      <c r="O260" s="44"/>
      <c r="P260" s="65"/>
    </row>
    <row r="261" spans="9:16" x14ac:dyDescent="0.3">
      <c r="I261" s="89"/>
      <c r="J261" s="15"/>
      <c r="K261" s="29"/>
      <c r="L261" s="89"/>
      <c r="M261" s="58"/>
      <c r="N261" s="44"/>
      <c r="O261" s="44"/>
      <c r="P261" s="65"/>
    </row>
    <row r="262" spans="9:16" x14ac:dyDescent="0.3">
      <c r="I262" s="89"/>
      <c r="J262" s="15"/>
      <c r="K262" s="29"/>
      <c r="L262" s="89"/>
      <c r="M262" s="58"/>
      <c r="N262" s="44"/>
      <c r="O262" s="44"/>
      <c r="P262" s="65"/>
    </row>
    <row r="263" spans="9:16" x14ac:dyDescent="0.3">
      <c r="I263" s="89"/>
      <c r="J263" s="15"/>
      <c r="K263" s="29"/>
      <c r="L263" s="89"/>
      <c r="M263" s="58"/>
      <c r="N263" s="44"/>
      <c r="O263" s="44"/>
      <c r="P263" s="65"/>
    </row>
    <row r="264" spans="9:16" x14ac:dyDescent="0.3">
      <c r="I264" s="89"/>
      <c r="J264" s="15"/>
      <c r="K264" s="29"/>
      <c r="L264" s="89"/>
      <c r="M264" s="58"/>
      <c r="N264" s="44"/>
      <c r="O264" s="44"/>
      <c r="P264" s="65"/>
    </row>
    <row r="265" spans="9:16" x14ac:dyDescent="0.3">
      <c r="I265" s="89"/>
      <c r="J265" s="15"/>
      <c r="K265" s="29"/>
      <c r="L265" s="89"/>
      <c r="M265" s="58"/>
      <c r="N265" s="44"/>
      <c r="O265" s="44"/>
      <c r="P265" s="65"/>
    </row>
    <row r="266" spans="9:16" x14ac:dyDescent="0.3">
      <c r="I266" s="89"/>
      <c r="J266" s="15"/>
      <c r="K266" s="29"/>
      <c r="L266" s="89"/>
      <c r="M266" s="58"/>
      <c r="N266" s="44"/>
      <c r="O266" s="44"/>
      <c r="P266" s="65"/>
    </row>
    <row r="267" spans="9:16" x14ac:dyDescent="0.3">
      <c r="I267" s="89"/>
      <c r="J267" s="15"/>
      <c r="K267" s="29"/>
      <c r="L267" s="89"/>
      <c r="M267" s="58"/>
      <c r="N267" s="44"/>
      <c r="O267" s="44"/>
      <c r="P267" s="65"/>
    </row>
    <row r="268" spans="9:16" x14ac:dyDescent="0.3">
      <c r="I268" s="89"/>
      <c r="J268" s="15"/>
      <c r="K268" s="29"/>
      <c r="L268" s="89"/>
      <c r="M268" s="58"/>
      <c r="N268" s="44"/>
      <c r="O268" s="44"/>
      <c r="P268" s="65"/>
    </row>
    <row r="269" spans="9:16" x14ac:dyDescent="0.3">
      <c r="I269" s="89"/>
      <c r="J269" s="15"/>
      <c r="K269" s="29"/>
      <c r="L269" s="89"/>
      <c r="M269" s="58"/>
      <c r="N269" s="44"/>
      <c r="O269" s="44"/>
      <c r="P269" s="65"/>
    </row>
    <row r="270" spans="9:16" x14ac:dyDescent="0.3">
      <c r="I270" s="89"/>
      <c r="J270" s="15"/>
      <c r="K270" s="29"/>
      <c r="L270" s="89"/>
      <c r="M270" s="58"/>
      <c r="N270" s="44"/>
      <c r="O270" s="44"/>
      <c r="P270" s="65"/>
    </row>
    <row r="271" spans="9:16" x14ac:dyDescent="0.3">
      <c r="I271" s="89"/>
      <c r="J271" s="15"/>
      <c r="K271" s="29"/>
      <c r="L271" s="89"/>
      <c r="M271" s="58"/>
      <c r="N271" s="44"/>
      <c r="O271" s="44"/>
      <c r="P271" s="65"/>
    </row>
    <row r="272" spans="9:16" x14ac:dyDescent="0.3">
      <c r="I272" s="89"/>
      <c r="J272" s="15"/>
      <c r="K272" s="29"/>
      <c r="L272" s="89"/>
      <c r="M272" s="58"/>
      <c r="N272" s="44"/>
      <c r="O272" s="44"/>
      <c r="P272" s="65"/>
    </row>
    <row r="273" spans="9:16" x14ac:dyDescent="0.3">
      <c r="I273" s="89"/>
      <c r="J273" s="15"/>
      <c r="K273" s="29"/>
      <c r="L273" s="89"/>
      <c r="M273" s="58"/>
      <c r="N273" s="44"/>
      <c r="O273" s="44"/>
      <c r="P273" s="65"/>
    </row>
    <row r="274" spans="9:16" x14ac:dyDescent="0.3">
      <c r="I274" s="89"/>
      <c r="J274" s="15"/>
      <c r="K274" s="29"/>
      <c r="L274" s="89"/>
      <c r="M274" s="58"/>
      <c r="N274" s="44"/>
      <c r="O274" s="44"/>
      <c r="P274" s="65"/>
    </row>
    <row r="275" spans="9:16" x14ac:dyDescent="0.3">
      <c r="I275" s="89"/>
      <c r="J275" s="15"/>
      <c r="K275" s="29"/>
      <c r="L275" s="89"/>
      <c r="M275" s="58"/>
      <c r="N275" s="44"/>
      <c r="O275" s="44"/>
      <c r="P275" s="65"/>
    </row>
    <row r="276" spans="9:16" x14ac:dyDescent="0.3">
      <c r="I276" s="89"/>
      <c r="J276" s="15"/>
      <c r="K276" s="29"/>
      <c r="L276" s="89"/>
      <c r="M276" s="58"/>
      <c r="N276" s="44"/>
      <c r="O276" s="44"/>
      <c r="P276" s="65"/>
    </row>
    <row r="277" spans="9:16" x14ac:dyDescent="0.3">
      <c r="I277" s="89"/>
      <c r="J277" s="15"/>
      <c r="K277" s="29"/>
      <c r="L277" s="89"/>
      <c r="M277" s="58"/>
      <c r="N277" s="44"/>
      <c r="O277" s="44"/>
      <c r="P277" s="65"/>
    </row>
    <row r="278" spans="9:16" x14ac:dyDescent="0.3">
      <c r="I278" s="89"/>
      <c r="J278" s="15"/>
      <c r="K278" s="29"/>
      <c r="L278" s="89"/>
      <c r="M278" s="58"/>
      <c r="N278" s="44"/>
      <c r="O278" s="44"/>
      <c r="P278" s="65"/>
    </row>
    <row r="279" spans="9:16" x14ac:dyDescent="0.3">
      <c r="I279" s="89"/>
      <c r="J279" s="15"/>
      <c r="K279" s="29"/>
      <c r="L279" s="89"/>
      <c r="M279" s="58"/>
      <c r="N279" s="44"/>
      <c r="O279" s="44"/>
      <c r="P279" s="65"/>
    </row>
    <row r="280" spans="9:16" x14ac:dyDescent="0.3">
      <c r="I280" s="89"/>
      <c r="J280" s="15"/>
      <c r="K280" s="29"/>
      <c r="L280" s="89"/>
      <c r="M280" s="58"/>
      <c r="N280" s="44"/>
      <c r="O280" s="44"/>
      <c r="P280" s="65"/>
    </row>
    <row r="281" spans="9:16" x14ac:dyDescent="0.3">
      <c r="I281" s="89"/>
      <c r="J281" s="15"/>
      <c r="K281" s="29"/>
      <c r="L281" s="89"/>
      <c r="M281" s="58"/>
      <c r="N281" s="44"/>
      <c r="O281" s="44"/>
      <c r="P281" s="65"/>
    </row>
    <row r="282" spans="9:16" x14ac:dyDescent="0.3">
      <c r="I282" s="89"/>
      <c r="J282" s="15"/>
      <c r="K282" s="29"/>
      <c r="L282" s="89"/>
      <c r="M282" s="58"/>
      <c r="N282" s="44"/>
      <c r="O282" s="44"/>
      <c r="P282" s="65"/>
    </row>
    <row r="283" spans="9:16" x14ac:dyDescent="0.3">
      <c r="I283" s="89"/>
      <c r="J283" s="15"/>
      <c r="K283" s="29"/>
      <c r="L283" s="89"/>
      <c r="M283" s="58"/>
      <c r="N283" s="44"/>
      <c r="O283" s="44"/>
      <c r="P283" s="65"/>
    </row>
    <row r="284" spans="9:16" x14ac:dyDescent="0.3">
      <c r="I284" s="89"/>
      <c r="J284" s="15"/>
      <c r="K284" s="29"/>
      <c r="L284" s="89"/>
      <c r="M284" s="58"/>
      <c r="N284" s="44"/>
      <c r="O284" s="44"/>
      <c r="P284" s="65"/>
    </row>
    <row r="285" spans="9:16" x14ac:dyDescent="0.3">
      <c r="I285" s="89"/>
      <c r="J285" s="15"/>
      <c r="K285" s="29"/>
      <c r="L285" s="89"/>
      <c r="M285" s="58"/>
      <c r="N285" s="44"/>
      <c r="O285" s="44"/>
      <c r="P285" s="65"/>
    </row>
    <row r="286" spans="9:16" x14ac:dyDescent="0.3">
      <c r="I286" s="89"/>
      <c r="J286" s="15"/>
      <c r="K286" s="29"/>
      <c r="L286" s="89"/>
      <c r="M286" s="58"/>
      <c r="N286" s="44"/>
      <c r="O286" s="44"/>
      <c r="P286" s="65"/>
    </row>
    <row r="287" spans="9:16" x14ac:dyDescent="0.3">
      <c r="I287" s="89"/>
      <c r="J287" s="15"/>
      <c r="K287" s="29"/>
      <c r="L287" s="89"/>
      <c r="M287" s="58"/>
      <c r="N287" s="44"/>
      <c r="O287" s="44"/>
      <c r="P287" s="65"/>
    </row>
    <row r="288" spans="9:16" x14ac:dyDescent="0.3">
      <c r="I288" s="89"/>
      <c r="J288" s="15"/>
      <c r="K288" s="29"/>
      <c r="L288" s="89"/>
      <c r="M288" s="58"/>
      <c r="N288" s="44"/>
      <c r="O288" s="44"/>
      <c r="P288" s="65"/>
    </row>
    <row r="289" spans="9:16" x14ac:dyDescent="0.3">
      <c r="I289" s="89"/>
      <c r="J289" s="15"/>
      <c r="K289" s="29"/>
      <c r="L289" s="89"/>
      <c r="M289" s="58"/>
      <c r="N289" s="44"/>
      <c r="O289" s="44"/>
      <c r="P289" s="65"/>
    </row>
    <row r="290" spans="9:16" x14ac:dyDescent="0.3">
      <c r="I290" s="89"/>
      <c r="J290" s="15"/>
      <c r="K290" s="29"/>
      <c r="L290" s="89"/>
      <c r="M290" s="58"/>
      <c r="N290" s="44"/>
      <c r="O290" s="44"/>
      <c r="P290" s="65"/>
    </row>
    <row r="291" spans="9:16" x14ac:dyDescent="0.3">
      <c r="I291" s="89"/>
      <c r="J291" s="15"/>
      <c r="K291" s="29"/>
      <c r="L291" s="89"/>
      <c r="M291" s="58"/>
      <c r="N291" s="44"/>
      <c r="O291" s="44"/>
      <c r="P291" s="65"/>
    </row>
    <row r="292" spans="9:16" x14ac:dyDescent="0.3">
      <c r="I292" s="89"/>
      <c r="J292" s="15"/>
      <c r="K292" s="29"/>
      <c r="L292" s="89"/>
      <c r="M292" s="58"/>
      <c r="N292" s="44"/>
      <c r="O292" s="44"/>
      <c r="P292" s="65"/>
    </row>
    <row r="293" spans="9:16" x14ac:dyDescent="0.3">
      <c r="I293" s="89"/>
      <c r="J293" s="15"/>
      <c r="K293" s="29"/>
      <c r="L293" s="89"/>
      <c r="M293" s="58"/>
      <c r="N293" s="44"/>
      <c r="O293" s="44"/>
      <c r="P293" s="65"/>
    </row>
    <row r="294" spans="9:16" x14ac:dyDescent="0.3">
      <c r="I294" s="89"/>
      <c r="J294" s="15"/>
      <c r="K294" s="29"/>
      <c r="L294" s="89"/>
      <c r="M294" s="58"/>
      <c r="N294" s="44"/>
      <c r="O294" s="44"/>
      <c r="P294" s="65"/>
    </row>
    <row r="295" spans="9:16" x14ac:dyDescent="0.3">
      <c r="I295" s="89"/>
      <c r="J295" s="15"/>
      <c r="K295" s="29"/>
      <c r="L295" s="89"/>
      <c r="M295" s="58"/>
      <c r="N295" s="44"/>
      <c r="O295" s="44"/>
      <c r="P295" s="65"/>
    </row>
    <row r="296" spans="9:16" x14ac:dyDescent="0.3">
      <c r="I296" s="89"/>
      <c r="J296" s="15"/>
      <c r="K296" s="29"/>
      <c r="L296" s="89"/>
      <c r="M296" s="58"/>
      <c r="N296" s="44"/>
      <c r="O296" s="44"/>
      <c r="P296" s="65"/>
    </row>
    <row r="297" spans="9:16" x14ac:dyDescent="0.3">
      <c r="I297" s="89"/>
      <c r="J297" s="15"/>
      <c r="K297" s="29"/>
      <c r="L297" s="89"/>
      <c r="M297" s="58"/>
      <c r="N297" s="44"/>
      <c r="O297" s="44"/>
      <c r="P297" s="65"/>
    </row>
    <row r="298" spans="9:16" x14ac:dyDescent="0.3">
      <c r="I298" s="89"/>
      <c r="J298" s="15"/>
      <c r="K298" s="29"/>
      <c r="L298" s="89"/>
      <c r="M298" s="58"/>
      <c r="N298" s="44"/>
      <c r="O298" s="44"/>
      <c r="P298" s="65"/>
    </row>
    <row r="299" spans="9:16" x14ac:dyDescent="0.3">
      <c r="I299" s="89"/>
      <c r="J299" s="15"/>
      <c r="K299" s="29"/>
      <c r="L299" s="89"/>
      <c r="M299" s="58"/>
      <c r="N299" s="44"/>
      <c r="O299" s="44"/>
      <c r="P299" s="65"/>
    </row>
    <row r="300" spans="9:16" x14ac:dyDescent="0.3">
      <c r="I300" s="89"/>
      <c r="J300" s="15"/>
      <c r="K300" s="29"/>
      <c r="L300" s="89"/>
      <c r="M300" s="58"/>
      <c r="N300" s="44"/>
      <c r="O300" s="44"/>
      <c r="P300" s="65"/>
    </row>
    <row r="301" spans="9:16" x14ac:dyDescent="0.3">
      <c r="I301" s="89"/>
      <c r="J301" s="15"/>
      <c r="K301" s="29"/>
      <c r="L301" s="89"/>
      <c r="M301" s="58"/>
      <c r="N301" s="44"/>
      <c r="O301" s="44"/>
      <c r="P301" s="65"/>
    </row>
    <row r="302" spans="9:16" x14ac:dyDescent="0.3">
      <c r="I302" s="89"/>
      <c r="J302" s="15"/>
      <c r="K302" s="29"/>
      <c r="L302" s="89"/>
      <c r="M302" s="58"/>
      <c r="N302" s="44"/>
      <c r="O302" s="44"/>
      <c r="P302" s="65"/>
    </row>
    <row r="303" spans="9:16" x14ac:dyDescent="0.3">
      <c r="I303" s="89"/>
      <c r="J303" s="15"/>
      <c r="K303" s="29"/>
      <c r="L303" s="89"/>
      <c r="M303" s="58"/>
      <c r="N303" s="44"/>
      <c r="O303" s="44"/>
      <c r="P303" s="65"/>
    </row>
    <row r="304" spans="9:16" x14ac:dyDescent="0.3">
      <c r="I304" s="89"/>
      <c r="J304" s="15"/>
      <c r="K304" s="29"/>
      <c r="L304" s="89"/>
      <c r="M304" s="58"/>
      <c r="N304" s="44"/>
      <c r="O304" s="44"/>
      <c r="P304" s="65"/>
    </row>
    <row r="305" spans="9:16" x14ac:dyDescent="0.3">
      <c r="I305" s="89"/>
      <c r="J305" s="15"/>
      <c r="K305" s="29"/>
      <c r="L305" s="89"/>
      <c r="M305" s="58"/>
      <c r="N305" s="44"/>
      <c r="O305" s="44"/>
      <c r="P305" s="65"/>
    </row>
    <row r="306" spans="9:16" x14ac:dyDescent="0.3">
      <c r="I306" s="89"/>
      <c r="J306" s="15"/>
      <c r="K306" s="29"/>
      <c r="L306" s="89"/>
      <c r="M306" s="58"/>
      <c r="N306" s="44"/>
      <c r="O306" s="44"/>
      <c r="P306" s="65"/>
    </row>
    <row r="307" spans="9:16" x14ac:dyDescent="0.3">
      <c r="I307" s="89"/>
      <c r="J307" s="15"/>
      <c r="K307" s="29"/>
      <c r="L307" s="89"/>
      <c r="M307" s="58"/>
      <c r="N307" s="44"/>
      <c r="O307" s="44"/>
      <c r="P307" s="65"/>
    </row>
    <row r="308" spans="9:16" x14ac:dyDescent="0.3">
      <c r="I308" s="89"/>
      <c r="J308" s="15"/>
      <c r="K308" s="29"/>
      <c r="L308" s="89"/>
      <c r="M308" s="58"/>
      <c r="N308" s="44"/>
      <c r="O308" s="44"/>
      <c r="P308" s="65"/>
    </row>
    <row r="309" spans="9:16" x14ac:dyDescent="0.3">
      <c r="I309" s="89"/>
      <c r="J309" s="15"/>
      <c r="K309" s="29"/>
      <c r="L309" s="89"/>
      <c r="M309" s="58"/>
      <c r="N309" s="44"/>
      <c r="O309" s="44"/>
      <c r="P309" s="65"/>
    </row>
    <row r="310" spans="9:16" x14ac:dyDescent="0.3">
      <c r="I310" s="89"/>
      <c r="J310" s="15"/>
      <c r="K310" s="29"/>
      <c r="L310" s="89"/>
      <c r="M310" s="58"/>
      <c r="N310" s="44"/>
      <c r="O310" s="44"/>
      <c r="P310" s="65"/>
    </row>
    <row r="311" spans="9:16" x14ac:dyDescent="0.3">
      <c r="I311" s="89"/>
      <c r="J311" s="15"/>
      <c r="K311" s="29"/>
      <c r="L311" s="89"/>
      <c r="M311" s="58"/>
      <c r="N311" s="44"/>
      <c r="O311" s="44"/>
      <c r="P311" s="65"/>
    </row>
    <row r="312" spans="9:16" x14ac:dyDescent="0.3">
      <c r="I312" s="89"/>
      <c r="J312" s="15"/>
      <c r="K312" s="29"/>
      <c r="L312" s="89"/>
      <c r="M312" s="58"/>
      <c r="N312" s="44"/>
      <c r="O312" s="44"/>
      <c r="P312" s="65"/>
    </row>
    <row r="313" spans="9:16" x14ac:dyDescent="0.3">
      <c r="I313" s="89"/>
      <c r="J313" s="15"/>
      <c r="K313" s="29"/>
      <c r="L313" s="89"/>
      <c r="M313" s="58"/>
      <c r="N313" s="44"/>
      <c r="O313" s="44"/>
      <c r="P313" s="65"/>
    </row>
    <row r="314" spans="9:16" x14ac:dyDescent="0.3">
      <c r="I314" s="89"/>
      <c r="J314" s="15"/>
      <c r="K314" s="29"/>
      <c r="L314" s="89"/>
      <c r="M314" s="58"/>
      <c r="N314" s="44"/>
      <c r="O314" s="44"/>
      <c r="P314" s="65"/>
    </row>
    <row r="315" spans="9:16" x14ac:dyDescent="0.3">
      <c r="I315" s="89"/>
      <c r="J315" s="15"/>
      <c r="K315" s="29"/>
      <c r="L315" s="89"/>
      <c r="M315" s="58"/>
      <c r="N315" s="44"/>
      <c r="O315" s="44"/>
      <c r="P315" s="65"/>
    </row>
    <row r="316" spans="9:16" x14ac:dyDescent="0.3">
      <c r="I316" s="89"/>
      <c r="J316" s="15"/>
      <c r="K316" s="29"/>
      <c r="L316" s="89"/>
      <c r="M316" s="58"/>
      <c r="N316" s="44"/>
      <c r="O316" s="44"/>
      <c r="P316" s="65"/>
    </row>
    <row r="317" spans="9:16" x14ac:dyDescent="0.3">
      <c r="I317" s="89"/>
      <c r="J317" s="15"/>
      <c r="K317" s="29"/>
      <c r="L317" s="89"/>
      <c r="M317" s="58"/>
      <c r="N317" s="44"/>
      <c r="O317" s="44"/>
      <c r="P317" s="65"/>
    </row>
    <row r="318" spans="9:16" x14ac:dyDescent="0.3">
      <c r="I318" s="89"/>
      <c r="J318" s="15"/>
      <c r="K318" s="29"/>
      <c r="L318" s="89"/>
      <c r="M318" s="58"/>
      <c r="N318" s="44"/>
      <c r="O318" s="44"/>
      <c r="P318" s="65"/>
    </row>
    <row r="319" spans="9:16" x14ac:dyDescent="0.3">
      <c r="I319" s="89"/>
      <c r="J319" s="15"/>
      <c r="K319" s="29"/>
      <c r="L319" s="89"/>
      <c r="M319" s="58"/>
      <c r="N319" s="44"/>
      <c r="O319" s="44"/>
      <c r="P319" s="65"/>
    </row>
    <row r="320" spans="9:16" x14ac:dyDescent="0.3">
      <c r="I320" s="89"/>
      <c r="J320" s="15"/>
      <c r="K320" s="29"/>
      <c r="L320" s="89"/>
      <c r="M320" s="58"/>
      <c r="N320" s="44"/>
      <c r="O320" s="44"/>
      <c r="P320" s="65"/>
    </row>
    <row r="321" spans="9:16" x14ac:dyDescent="0.3">
      <c r="I321" s="89"/>
      <c r="J321" s="15"/>
      <c r="K321" s="29"/>
      <c r="L321" s="89"/>
      <c r="M321" s="58"/>
      <c r="N321" s="44"/>
      <c r="O321" s="44"/>
      <c r="P321" s="65"/>
    </row>
    <row r="322" spans="9:16" x14ac:dyDescent="0.3">
      <c r="I322" s="89"/>
      <c r="J322" s="15"/>
      <c r="K322" s="29"/>
      <c r="L322" s="89"/>
      <c r="M322" s="58"/>
      <c r="N322" s="44"/>
      <c r="O322" s="44"/>
      <c r="P322" s="65"/>
    </row>
    <row r="323" spans="9:16" x14ac:dyDescent="0.3">
      <c r="I323" s="89"/>
      <c r="J323" s="15"/>
      <c r="K323" s="29"/>
      <c r="L323" s="89"/>
      <c r="M323" s="58"/>
      <c r="N323" s="44"/>
      <c r="O323" s="44"/>
      <c r="P323" s="65"/>
    </row>
    <row r="324" spans="9:16" x14ac:dyDescent="0.3">
      <c r="I324" s="89"/>
      <c r="J324" s="15"/>
      <c r="K324" s="29"/>
      <c r="L324" s="89"/>
      <c r="M324" s="58"/>
      <c r="N324" s="44"/>
      <c r="O324" s="44"/>
      <c r="P324" s="65"/>
    </row>
    <row r="325" spans="9:16" x14ac:dyDescent="0.3">
      <c r="I325" s="89"/>
      <c r="J325" s="15"/>
      <c r="K325" s="29"/>
      <c r="L325" s="89"/>
      <c r="M325" s="58"/>
      <c r="N325" s="44"/>
      <c r="O325" s="44"/>
      <c r="P325" s="65"/>
    </row>
    <row r="326" spans="9:16" x14ac:dyDescent="0.3">
      <c r="I326" s="89"/>
      <c r="J326" s="15"/>
      <c r="K326" s="29"/>
      <c r="L326" s="89"/>
      <c r="M326" s="58"/>
      <c r="N326" s="44"/>
      <c r="O326" s="44"/>
      <c r="P326" s="65"/>
    </row>
    <row r="327" spans="9:16" x14ac:dyDescent="0.3">
      <c r="I327" s="89"/>
      <c r="J327" s="15"/>
      <c r="K327" s="29"/>
      <c r="L327" s="89"/>
      <c r="M327" s="58"/>
      <c r="N327" s="44"/>
      <c r="O327" s="44"/>
      <c r="P327" s="65"/>
    </row>
    <row r="328" spans="9:16" x14ac:dyDescent="0.3">
      <c r="I328" s="89"/>
      <c r="J328" s="15"/>
      <c r="K328" s="29"/>
      <c r="L328" s="89"/>
      <c r="M328" s="58"/>
      <c r="N328" s="44"/>
      <c r="O328" s="44"/>
      <c r="P328" s="65"/>
    </row>
    <row r="329" spans="9:16" x14ac:dyDescent="0.3">
      <c r="I329" s="89"/>
      <c r="J329" s="15"/>
      <c r="K329" s="29"/>
      <c r="L329" s="89"/>
      <c r="M329" s="58"/>
      <c r="N329" s="44"/>
      <c r="O329" s="44"/>
      <c r="P329" s="65"/>
    </row>
    <row r="330" spans="9:16" x14ac:dyDescent="0.3">
      <c r="I330" s="89"/>
      <c r="J330" s="15"/>
      <c r="K330" s="29"/>
      <c r="L330" s="89"/>
      <c r="M330" s="58"/>
      <c r="N330" s="44"/>
      <c r="O330" s="44"/>
      <c r="P330" s="65"/>
    </row>
    <row r="331" spans="9:16" x14ac:dyDescent="0.3">
      <c r="I331" s="89"/>
      <c r="J331" s="15"/>
      <c r="K331" s="29"/>
      <c r="L331" s="89"/>
      <c r="M331" s="58"/>
      <c r="N331" s="44"/>
      <c r="O331" s="44"/>
      <c r="P331" s="65"/>
    </row>
    <row r="332" spans="9:16" x14ac:dyDescent="0.3">
      <c r="I332" s="89"/>
      <c r="J332" s="15"/>
      <c r="K332" s="29"/>
      <c r="L332" s="89"/>
      <c r="M332" s="58"/>
      <c r="N332" s="44"/>
      <c r="O332" s="44"/>
      <c r="P332" s="65"/>
    </row>
    <row r="333" spans="9:16" x14ac:dyDescent="0.3">
      <c r="I333" s="89"/>
      <c r="J333" s="15"/>
      <c r="K333" s="29"/>
      <c r="L333" s="89"/>
      <c r="M333" s="58"/>
      <c r="N333" s="44"/>
      <c r="O333" s="44"/>
      <c r="P333" s="65"/>
    </row>
    <row r="334" spans="9:16" x14ac:dyDescent="0.3">
      <c r="I334" s="89"/>
      <c r="J334" s="15"/>
      <c r="K334" s="29"/>
      <c r="L334" s="89"/>
      <c r="M334" s="58"/>
      <c r="N334" s="44"/>
      <c r="O334" s="44"/>
      <c r="P334" s="65"/>
    </row>
    <row r="335" spans="9:16" x14ac:dyDescent="0.3">
      <c r="I335" s="89"/>
      <c r="J335" s="15"/>
      <c r="K335" s="29"/>
      <c r="L335" s="89"/>
      <c r="M335" s="58"/>
      <c r="N335" s="44"/>
      <c r="O335" s="44"/>
      <c r="P335" s="65"/>
    </row>
    <row r="336" spans="9:16" x14ac:dyDescent="0.3">
      <c r="I336" s="89"/>
      <c r="J336" s="15"/>
      <c r="K336" s="29"/>
      <c r="L336" s="89"/>
      <c r="M336" s="58"/>
      <c r="N336" s="44"/>
      <c r="O336" s="44"/>
      <c r="P336" s="65"/>
    </row>
    <row r="337" spans="9:16" x14ac:dyDescent="0.3">
      <c r="I337" s="89"/>
      <c r="J337" s="15"/>
      <c r="K337" s="29"/>
      <c r="L337" s="89"/>
      <c r="M337" s="58"/>
      <c r="N337" s="44"/>
      <c r="O337" s="44"/>
      <c r="P337" s="65"/>
    </row>
    <row r="338" spans="9:16" x14ac:dyDescent="0.3">
      <c r="I338" s="89"/>
      <c r="J338" s="15"/>
      <c r="K338" s="29"/>
      <c r="L338" s="89"/>
      <c r="M338" s="58"/>
      <c r="N338" s="44"/>
      <c r="O338" s="44"/>
      <c r="P338" s="65"/>
    </row>
    <row r="339" spans="9:16" x14ac:dyDescent="0.3">
      <c r="I339" s="89"/>
      <c r="J339" s="15"/>
      <c r="K339" s="29"/>
      <c r="L339" s="89"/>
      <c r="M339" s="58"/>
      <c r="N339" s="44"/>
      <c r="O339" s="44"/>
      <c r="P339" s="65"/>
    </row>
    <row r="340" spans="9:16" x14ac:dyDescent="0.3">
      <c r="I340" s="89"/>
      <c r="J340" s="15"/>
      <c r="K340" s="29"/>
      <c r="L340" s="89"/>
      <c r="M340" s="58"/>
      <c r="N340" s="44"/>
      <c r="O340" s="44"/>
      <c r="P340" s="65"/>
    </row>
    <row r="341" spans="9:16" x14ac:dyDescent="0.3">
      <c r="I341" s="89"/>
      <c r="J341" s="15"/>
      <c r="K341" s="29"/>
      <c r="L341" s="89"/>
      <c r="M341" s="58"/>
      <c r="N341" s="44"/>
      <c r="O341" s="44"/>
      <c r="P341" s="65"/>
    </row>
    <row r="342" spans="9:16" x14ac:dyDescent="0.3">
      <c r="I342" s="89"/>
      <c r="J342" s="15"/>
      <c r="K342" s="29"/>
      <c r="L342" s="89"/>
      <c r="M342" s="58"/>
      <c r="N342" s="44"/>
      <c r="O342" s="44"/>
      <c r="P342" s="65"/>
    </row>
    <row r="343" spans="9:16" x14ac:dyDescent="0.3">
      <c r="I343" s="89"/>
      <c r="J343" s="15"/>
      <c r="K343" s="29"/>
      <c r="L343" s="89"/>
      <c r="M343" s="58"/>
      <c r="N343" s="44"/>
      <c r="O343" s="44"/>
      <c r="P343" s="65"/>
    </row>
    <row r="344" spans="9:16" x14ac:dyDescent="0.3">
      <c r="I344" s="89"/>
      <c r="J344" s="15"/>
      <c r="K344" s="29"/>
      <c r="L344" s="89"/>
      <c r="M344" s="58"/>
      <c r="N344" s="44"/>
      <c r="O344" s="44"/>
      <c r="P344" s="65"/>
    </row>
    <row r="345" spans="9:16" x14ac:dyDescent="0.3">
      <c r="I345" s="89"/>
      <c r="J345" s="15"/>
      <c r="K345" s="29"/>
      <c r="L345" s="89"/>
      <c r="M345" s="58"/>
      <c r="N345" s="44"/>
      <c r="O345" s="44"/>
      <c r="P345" s="44"/>
    </row>
    <row r="346" spans="9:16" x14ac:dyDescent="0.3">
      <c r="I346" s="89"/>
      <c r="J346" s="15"/>
      <c r="K346" s="29"/>
      <c r="L346" s="89"/>
      <c r="M346" s="58"/>
      <c r="N346" s="44"/>
      <c r="O346" s="44"/>
      <c r="P346" s="65"/>
    </row>
    <row r="347" spans="9:16" x14ac:dyDescent="0.3">
      <c r="I347" s="89"/>
      <c r="J347" s="15"/>
      <c r="K347" s="29"/>
      <c r="L347" s="89"/>
      <c r="M347" s="58"/>
      <c r="N347" s="44"/>
      <c r="O347" s="44"/>
      <c r="P347" s="65"/>
    </row>
    <row r="348" spans="9:16" x14ac:dyDescent="0.3">
      <c r="I348" s="89"/>
      <c r="J348" s="15"/>
      <c r="K348" s="29"/>
      <c r="L348" s="89"/>
      <c r="M348" s="58"/>
      <c r="N348" s="44"/>
      <c r="O348" s="44"/>
      <c r="P348" s="65"/>
    </row>
    <row r="349" spans="9:16" x14ac:dyDescent="0.3">
      <c r="I349" s="89"/>
      <c r="J349" s="15"/>
      <c r="K349" s="29"/>
      <c r="L349" s="89"/>
      <c r="M349" s="58"/>
      <c r="N349" s="44"/>
      <c r="O349" s="44"/>
      <c r="P349" s="65"/>
    </row>
    <row r="350" spans="9:16" x14ac:dyDescent="0.3">
      <c r="I350" s="89"/>
      <c r="J350" s="15"/>
      <c r="K350" s="29"/>
      <c r="L350" s="89"/>
      <c r="M350" s="58"/>
      <c r="N350" s="44"/>
      <c r="O350" s="44"/>
      <c r="P350" s="65"/>
    </row>
    <row r="351" spans="9:16" x14ac:dyDescent="0.3">
      <c r="I351" s="89"/>
      <c r="J351" s="15"/>
      <c r="K351" s="29"/>
      <c r="L351" s="89"/>
      <c r="M351" s="58"/>
      <c r="N351" s="44"/>
      <c r="O351" s="44"/>
      <c r="P351" s="65"/>
    </row>
    <row r="352" spans="9:16" x14ac:dyDescent="0.3">
      <c r="I352" s="89"/>
      <c r="J352" s="15"/>
      <c r="K352" s="29"/>
      <c r="L352" s="89"/>
      <c r="M352" s="58"/>
      <c r="N352" s="44"/>
      <c r="O352" s="44"/>
      <c r="P352" s="65"/>
    </row>
    <row r="353" spans="9:16" x14ac:dyDescent="0.3">
      <c r="I353" s="89"/>
      <c r="J353" s="15"/>
      <c r="K353" s="29"/>
      <c r="L353" s="89"/>
      <c r="M353" s="58"/>
      <c r="N353" s="44"/>
      <c r="O353" s="44"/>
      <c r="P353" s="65"/>
    </row>
    <row r="354" spans="9:16" x14ac:dyDescent="0.3">
      <c r="I354" s="89"/>
      <c r="J354" s="15"/>
      <c r="K354" s="29"/>
      <c r="L354" s="89"/>
      <c r="M354" s="58"/>
      <c r="N354" s="44"/>
      <c r="O354" s="44"/>
      <c r="P354" s="65"/>
    </row>
    <row r="355" spans="9:16" x14ac:dyDescent="0.3">
      <c r="I355" s="89"/>
      <c r="J355" s="15"/>
      <c r="K355" s="29"/>
      <c r="L355" s="89"/>
      <c r="M355" s="58"/>
      <c r="N355" s="44"/>
      <c r="O355" s="44"/>
      <c r="P355" s="65"/>
    </row>
    <row r="356" spans="9:16" x14ac:dyDescent="0.3">
      <c r="I356" s="89"/>
      <c r="J356" s="15"/>
      <c r="K356" s="29"/>
      <c r="L356" s="89"/>
      <c r="M356" s="58"/>
      <c r="N356" s="44"/>
      <c r="O356" s="44"/>
      <c r="P356" s="65"/>
    </row>
    <row r="357" spans="9:16" x14ac:dyDescent="0.3">
      <c r="I357" s="89"/>
      <c r="J357" s="15"/>
      <c r="K357" s="29"/>
      <c r="L357" s="89"/>
      <c r="M357" s="58"/>
      <c r="N357" s="44"/>
      <c r="O357" s="44"/>
      <c r="P357" s="65"/>
    </row>
    <row r="358" spans="9:16" x14ac:dyDescent="0.3">
      <c r="I358" s="89"/>
      <c r="J358" s="15"/>
      <c r="K358" s="29"/>
      <c r="L358" s="89"/>
      <c r="M358" s="58"/>
      <c r="N358" s="44"/>
      <c r="O358" s="44"/>
      <c r="P358" s="65"/>
    </row>
    <row r="359" spans="9:16" x14ac:dyDescent="0.3">
      <c r="I359" s="89"/>
      <c r="J359" s="15"/>
      <c r="K359" s="29"/>
      <c r="L359" s="89"/>
      <c r="M359" s="58"/>
      <c r="N359" s="44"/>
      <c r="O359" s="44"/>
      <c r="P359" s="65"/>
    </row>
    <row r="360" spans="9:16" x14ac:dyDescent="0.3">
      <c r="I360" s="89"/>
      <c r="J360" s="15"/>
      <c r="K360" s="29"/>
      <c r="L360" s="89"/>
      <c r="M360" s="58"/>
      <c r="N360" s="44"/>
      <c r="O360" s="44"/>
      <c r="P360" s="65"/>
    </row>
    <row r="361" spans="9:16" x14ac:dyDescent="0.3">
      <c r="I361" s="89"/>
      <c r="J361" s="15"/>
      <c r="K361" s="29"/>
      <c r="L361" s="89"/>
      <c r="M361" s="58"/>
      <c r="N361" s="44"/>
      <c r="O361" s="44"/>
      <c r="P361" s="65"/>
    </row>
    <row r="362" spans="9:16" x14ac:dyDescent="0.3">
      <c r="I362" s="89"/>
      <c r="J362" s="15"/>
      <c r="K362" s="29"/>
      <c r="L362" s="89"/>
      <c r="M362" s="58"/>
      <c r="N362" s="44"/>
      <c r="O362" s="44"/>
      <c r="P362" s="65"/>
    </row>
    <row r="363" spans="9:16" x14ac:dyDescent="0.3">
      <c r="I363" s="89"/>
      <c r="J363" s="15"/>
      <c r="K363" s="29"/>
      <c r="L363" s="89"/>
      <c r="M363" s="58"/>
      <c r="N363" s="44"/>
      <c r="O363" s="44"/>
      <c r="P363" s="65"/>
    </row>
    <row r="364" spans="9:16" x14ac:dyDescent="0.3">
      <c r="I364" s="89"/>
      <c r="J364" s="15"/>
      <c r="K364" s="29"/>
      <c r="L364" s="89"/>
      <c r="M364" s="58"/>
      <c r="N364" s="44"/>
      <c r="O364" s="44"/>
      <c r="P364" s="65"/>
    </row>
    <row r="365" spans="9:16" x14ac:dyDescent="0.3">
      <c r="I365" s="89"/>
      <c r="J365" s="15"/>
      <c r="K365" s="29"/>
      <c r="L365" s="89"/>
      <c r="M365" s="58"/>
      <c r="N365" s="44"/>
      <c r="O365" s="44"/>
      <c r="P365" s="65"/>
    </row>
    <row r="366" spans="9:16" x14ac:dyDescent="0.3">
      <c r="I366" s="89"/>
      <c r="J366" s="15"/>
      <c r="K366" s="29"/>
      <c r="L366" s="89"/>
      <c r="M366" s="58"/>
      <c r="N366" s="44"/>
      <c r="O366" s="44"/>
      <c r="P366" s="65"/>
    </row>
    <row r="367" spans="9:16" x14ac:dyDescent="0.3">
      <c r="I367" s="89"/>
      <c r="J367" s="15"/>
      <c r="K367" s="29"/>
      <c r="L367" s="89"/>
      <c r="M367" s="58"/>
      <c r="N367" s="44"/>
      <c r="O367" s="44"/>
      <c r="P367" s="65"/>
    </row>
    <row r="368" spans="9:16" x14ac:dyDescent="0.3">
      <c r="I368" s="89"/>
      <c r="J368" s="15"/>
      <c r="K368" s="29"/>
      <c r="L368" s="89"/>
      <c r="M368" s="58"/>
      <c r="N368" s="44"/>
      <c r="O368" s="44"/>
      <c r="P368" s="65"/>
    </row>
    <row r="369" spans="9:16" x14ac:dyDescent="0.3">
      <c r="I369" s="89"/>
      <c r="J369" s="15"/>
      <c r="K369" s="29"/>
      <c r="L369" s="89"/>
      <c r="M369" s="58"/>
      <c r="N369" s="44"/>
      <c r="O369" s="44"/>
      <c r="P369" s="65"/>
    </row>
    <row r="370" spans="9:16" x14ac:dyDescent="0.3">
      <c r="I370" s="89"/>
      <c r="J370" s="15"/>
      <c r="K370" s="29"/>
      <c r="L370" s="89"/>
      <c r="M370" s="58"/>
      <c r="N370" s="44"/>
      <c r="O370" s="44"/>
      <c r="P370" s="65"/>
    </row>
    <row r="371" spans="9:16" x14ac:dyDescent="0.3">
      <c r="I371" s="89"/>
      <c r="J371" s="15"/>
      <c r="K371" s="29"/>
      <c r="L371" s="89"/>
      <c r="M371" s="58"/>
      <c r="N371" s="44"/>
      <c r="O371" s="44"/>
      <c r="P371" s="65"/>
    </row>
    <row r="372" spans="9:16" x14ac:dyDescent="0.3">
      <c r="I372" s="89"/>
      <c r="J372" s="15"/>
      <c r="K372" s="29"/>
      <c r="L372" s="89"/>
      <c r="M372" s="58"/>
      <c r="N372" s="44"/>
      <c r="O372" s="44"/>
      <c r="P372" s="65"/>
    </row>
    <row r="373" spans="9:16" x14ac:dyDescent="0.3">
      <c r="I373" s="89"/>
      <c r="J373" s="15"/>
      <c r="K373" s="29"/>
      <c r="L373" s="89"/>
      <c r="M373" s="58"/>
      <c r="N373" s="44"/>
      <c r="O373" s="44"/>
      <c r="P373" s="65"/>
    </row>
    <row r="374" spans="9:16" x14ac:dyDescent="0.3">
      <c r="I374" s="89"/>
      <c r="J374" s="15"/>
      <c r="K374" s="29"/>
      <c r="L374" s="89"/>
      <c r="M374" s="58"/>
      <c r="N374" s="44"/>
      <c r="O374" s="44"/>
      <c r="P374" s="65"/>
    </row>
    <row r="375" spans="9:16" x14ac:dyDescent="0.3">
      <c r="I375" s="89"/>
      <c r="J375" s="15"/>
      <c r="K375" s="29"/>
      <c r="L375" s="89"/>
      <c r="M375" s="58"/>
      <c r="N375" s="44"/>
      <c r="O375" s="44"/>
      <c r="P375" s="65"/>
    </row>
    <row r="376" spans="9:16" x14ac:dyDescent="0.3">
      <c r="I376" s="89"/>
      <c r="J376" s="15"/>
      <c r="K376" s="29"/>
      <c r="L376" s="89"/>
      <c r="M376" s="58"/>
      <c r="N376" s="44"/>
      <c r="O376" s="44"/>
      <c r="P376" s="65"/>
    </row>
    <row r="377" spans="9:16" x14ac:dyDescent="0.3">
      <c r="I377" s="89"/>
      <c r="J377" s="15"/>
      <c r="K377" s="29"/>
      <c r="L377" s="89"/>
      <c r="M377" s="58"/>
      <c r="N377" s="44"/>
      <c r="O377" s="44"/>
      <c r="P377" s="65"/>
    </row>
    <row r="378" spans="9:16" x14ac:dyDescent="0.3">
      <c r="I378" s="89"/>
      <c r="J378" s="15"/>
      <c r="K378" s="29"/>
      <c r="L378" s="89"/>
      <c r="M378" s="58"/>
      <c r="N378" s="44"/>
      <c r="O378" s="44"/>
      <c r="P378" s="65"/>
    </row>
    <row r="379" spans="9:16" x14ac:dyDescent="0.3">
      <c r="I379" s="89"/>
      <c r="J379" s="15"/>
      <c r="K379" s="29"/>
      <c r="L379" s="89"/>
      <c r="M379" s="58"/>
      <c r="N379" s="44"/>
      <c r="O379" s="44"/>
      <c r="P379" s="65"/>
    </row>
    <row r="380" spans="9:16" x14ac:dyDescent="0.3">
      <c r="I380" s="89"/>
      <c r="J380" s="15"/>
      <c r="K380" s="29"/>
      <c r="L380" s="89"/>
      <c r="M380" s="58"/>
      <c r="N380" s="44"/>
      <c r="O380" s="44"/>
      <c r="P380" s="65"/>
    </row>
    <row r="381" spans="9:16" x14ac:dyDescent="0.3">
      <c r="I381" s="89"/>
      <c r="J381" s="15"/>
      <c r="K381" s="29"/>
      <c r="L381" s="89"/>
      <c r="M381" s="58"/>
      <c r="N381" s="44"/>
      <c r="O381" s="44"/>
      <c r="P381" s="65"/>
    </row>
    <row r="382" spans="9:16" x14ac:dyDescent="0.3">
      <c r="I382" s="89"/>
      <c r="J382" s="15"/>
      <c r="K382" s="29"/>
      <c r="L382" s="89"/>
      <c r="M382" s="58"/>
      <c r="N382" s="44"/>
      <c r="O382" s="44"/>
      <c r="P382" s="65"/>
    </row>
    <row r="383" spans="9:16" x14ac:dyDescent="0.3">
      <c r="I383" s="89"/>
      <c r="J383" s="15"/>
      <c r="K383" s="29"/>
      <c r="L383" s="89"/>
      <c r="M383" s="58"/>
      <c r="N383" s="44"/>
      <c r="O383" s="44"/>
      <c r="P383" s="65"/>
    </row>
    <row r="384" spans="9:16" x14ac:dyDescent="0.3">
      <c r="I384" s="89"/>
      <c r="J384" s="15"/>
      <c r="K384" s="29"/>
      <c r="L384" s="89"/>
      <c r="M384" s="58"/>
      <c r="N384" s="44"/>
      <c r="O384" s="44"/>
      <c r="P384" s="65"/>
    </row>
    <row r="385" spans="9:16" x14ac:dyDescent="0.3">
      <c r="I385" s="89"/>
      <c r="J385" s="15"/>
      <c r="K385" s="29"/>
      <c r="L385" s="89"/>
      <c r="M385" s="58"/>
      <c r="N385" s="44"/>
      <c r="O385" s="44"/>
      <c r="P385" s="65"/>
    </row>
    <row r="386" spans="9:16" x14ac:dyDescent="0.3">
      <c r="I386" s="89"/>
      <c r="J386" s="15"/>
      <c r="K386" s="29"/>
      <c r="L386" s="89"/>
      <c r="M386" s="58"/>
      <c r="N386" s="44"/>
      <c r="O386" s="44"/>
      <c r="P386" s="65"/>
    </row>
    <row r="387" spans="9:16" x14ac:dyDescent="0.3">
      <c r="I387" s="89"/>
      <c r="J387" s="15"/>
      <c r="K387" s="29"/>
      <c r="L387" s="89"/>
      <c r="M387" s="58"/>
      <c r="N387" s="44"/>
      <c r="O387" s="44"/>
      <c r="P387" s="65"/>
    </row>
    <row r="388" spans="9:16" x14ac:dyDescent="0.3">
      <c r="I388" s="89"/>
      <c r="J388" s="15"/>
      <c r="K388" s="29"/>
      <c r="L388" s="89"/>
      <c r="M388" s="58"/>
      <c r="N388" s="44"/>
      <c r="O388" s="44"/>
      <c r="P388" s="65"/>
    </row>
    <row r="389" spans="9:16" x14ac:dyDescent="0.3">
      <c r="I389" s="89"/>
      <c r="J389" s="15"/>
      <c r="K389" s="29"/>
      <c r="L389" s="89"/>
      <c r="M389" s="58"/>
      <c r="N389" s="44"/>
      <c r="O389" s="44"/>
      <c r="P389" s="65"/>
    </row>
    <row r="390" spans="9:16" x14ac:dyDescent="0.3">
      <c r="I390" s="89"/>
      <c r="J390" s="15"/>
      <c r="K390" s="29"/>
      <c r="L390" s="89"/>
      <c r="M390" s="58"/>
      <c r="N390" s="44"/>
      <c r="O390" s="44"/>
      <c r="P390" s="65"/>
    </row>
    <row r="391" spans="9:16" x14ac:dyDescent="0.3">
      <c r="I391" s="89"/>
      <c r="J391" s="15"/>
      <c r="K391" s="29"/>
      <c r="L391" s="89"/>
      <c r="M391" s="58"/>
      <c r="N391" s="44"/>
      <c r="O391" s="44"/>
      <c r="P391" s="65"/>
    </row>
    <row r="392" spans="9:16" x14ac:dyDescent="0.3">
      <c r="I392" s="89"/>
      <c r="J392" s="15"/>
      <c r="K392" s="29"/>
      <c r="L392" s="89"/>
      <c r="M392" s="58"/>
      <c r="N392" s="44"/>
      <c r="O392" s="44"/>
      <c r="P392" s="65"/>
    </row>
    <row r="393" spans="9:16" x14ac:dyDescent="0.3">
      <c r="I393" s="89"/>
      <c r="J393" s="15"/>
      <c r="K393" s="29"/>
      <c r="L393" s="89"/>
      <c r="M393" s="58"/>
      <c r="N393" s="44"/>
      <c r="O393" s="44"/>
      <c r="P393" s="65"/>
    </row>
    <row r="394" spans="9:16" x14ac:dyDescent="0.3">
      <c r="I394" s="89"/>
      <c r="J394" s="15"/>
      <c r="K394" s="29"/>
      <c r="L394" s="89"/>
      <c r="M394" s="58"/>
      <c r="N394" s="44"/>
      <c r="O394" s="44"/>
      <c r="P394" s="65"/>
    </row>
    <row r="395" spans="9:16" x14ac:dyDescent="0.3">
      <c r="I395" s="89"/>
      <c r="J395" s="15"/>
      <c r="K395" s="29"/>
      <c r="L395" s="89"/>
      <c r="M395" s="58"/>
      <c r="N395" s="44"/>
      <c r="O395" s="44"/>
      <c r="P395" s="65"/>
    </row>
    <row r="396" spans="9:16" x14ac:dyDescent="0.3">
      <c r="I396" s="89"/>
      <c r="J396" s="15"/>
      <c r="K396" s="29"/>
      <c r="L396" s="89"/>
      <c r="M396" s="58"/>
      <c r="N396" s="44"/>
      <c r="O396" s="44"/>
      <c r="P396" s="65"/>
    </row>
    <row r="397" spans="9:16" x14ac:dyDescent="0.3">
      <c r="I397" s="89"/>
      <c r="J397" s="15"/>
      <c r="K397" s="29"/>
      <c r="L397" s="89"/>
      <c r="M397" s="58"/>
      <c r="N397" s="44"/>
      <c r="O397" s="44"/>
      <c r="P397" s="65"/>
    </row>
    <row r="398" spans="9:16" x14ac:dyDescent="0.3">
      <c r="I398" s="89"/>
      <c r="J398" s="15"/>
      <c r="K398" s="29"/>
      <c r="L398" s="89"/>
      <c r="M398" s="58"/>
      <c r="N398" s="44"/>
      <c r="O398" s="44"/>
      <c r="P398" s="65"/>
    </row>
    <row r="399" spans="9:16" x14ac:dyDescent="0.3">
      <c r="I399" s="89"/>
      <c r="J399" s="15"/>
      <c r="K399" s="29"/>
      <c r="L399" s="89"/>
      <c r="M399" s="58"/>
      <c r="N399" s="44"/>
      <c r="O399" s="44"/>
      <c r="P399" s="65"/>
    </row>
    <row r="400" spans="9:16" x14ac:dyDescent="0.3">
      <c r="I400" s="89"/>
      <c r="J400" s="15"/>
      <c r="K400" s="29"/>
      <c r="L400" s="89"/>
      <c r="M400" s="58"/>
      <c r="N400" s="44"/>
      <c r="O400" s="44"/>
      <c r="P400" s="65"/>
    </row>
    <row r="401" spans="9:16" x14ac:dyDescent="0.3">
      <c r="I401" s="89"/>
      <c r="J401" s="15"/>
      <c r="K401" s="29"/>
      <c r="L401" s="89"/>
      <c r="M401" s="58"/>
      <c r="N401" s="44"/>
      <c r="O401" s="44"/>
      <c r="P401" s="65"/>
    </row>
    <row r="402" spans="9:16" x14ac:dyDescent="0.3">
      <c r="I402" s="89"/>
      <c r="J402" s="15"/>
      <c r="K402" s="29"/>
      <c r="L402" s="89"/>
      <c r="M402" s="58"/>
      <c r="N402" s="44"/>
      <c r="O402" s="44"/>
      <c r="P402" s="65"/>
    </row>
    <row r="403" spans="9:16" x14ac:dyDescent="0.3">
      <c r="I403" s="89"/>
      <c r="J403" s="15"/>
      <c r="K403" s="29"/>
      <c r="L403" s="89"/>
      <c r="M403" s="58"/>
      <c r="N403" s="44"/>
      <c r="O403" s="44"/>
      <c r="P403" s="65"/>
    </row>
    <row r="404" spans="9:16" x14ac:dyDescent="0.3">
      <c r="I404" s="89"/>
      <c r="J404" s="15"/>
      <c r="K404" s="29"/>
      <c r="L404" s="89"/>
      <c r="M404" s="58"/>
      <c r="N404" s="44"/>
      <c r="O404" s="44"/>
      <c r="P404" s="44"/>
    </row>
    <row r="405" spans="9:16" x14ac:dyDescent="0.3">
      <c r="I405" s="89"/>
      <c r="J405" s="15"/>
      <c r="K405" s="29"/>
      <c r="L405" s="89"/>
      <c r="M405" s="58"/>
      <c r="N405" s="44"/>
      <c r="O405" s="44"/>
      <c r="P405" s="65"/>
    </row>
    <row r="406" spans="9:16" x14ac:dyDescent="0.3">
      <c r="I406" s="89"/>
      <c r="J406" s="15"/>
      <c r="K406" s="29"/>
      <c r="L406" s="89"/>
      <c r="M406" s="58"/>
      <c r="N406" s="44"/>
      <c r="O406" s="44"/>
      <c r="P406" s="65"/>
    </row>
    <row r="407" spans="9:16" x14ac:dyDescent="0.3">
      <c r="I407" s="89"/>
      <c r="J407" s="15"/>
      <c r="K407" s="29"/>
      <c r="L407" s="89"/>
      <c r="M407" s="58"/>
      <c r="N407" s="44"/>
      <c r="O407" s="44"/>
      <c r="P407" s="65"/>
    </row>
    <row r="408" spans="9:16" x14ac:dyDescent="0.3">
      <c r="I408" s="89"/>
      <c r="J408" s="15"/>
      <c r="K408" s="29"/>
      <c r="L408" s="89"/>
      <c r="M408" s="58"/>
      <c r="N408" s="44"/>
      <c r="O408" s="44"/>
      <c r="P408" s="65"/>
    </row>
    <row r="409" spans="9:16" x14ac:dyDescent="0.3">
      <c r="I409" s="89"/>
      <c r="J409" s="15"/>
      <c r="K409" s="29"/>
      <c r="L409" s="89"/>
      <c r="M409" s="58"/>
      <c r="N409" s="44"/>
      <c r="O409" s="44"/>
      <c r="P409" s="65"/>
    </row>
    <row r="410" spans="9:16" x14ac:dyDescent="0.3">
      <c r="I410" s="89"/>
      <c r="J410" s="15"/>
      <c r="K410" s="29"/>
      <c r="L410" s="89"/>
      <c r="M410" s="58"/>
      <c r="N410" s="44"/>
      <c r="O410" s="44"/>
      <c r="P410" s="65"/>
    </row>
    <row r="411" spans="9:16" x14ac:dyDescent="0.3">
      <c r="I411" s="89"/>
      <c r="J411" s="15"/>
      <c r="K411" s="29"/>
      <c r="L411" s="89"/>
      <c r="M411" s="58"/>
      <c r="N411" s="44"/>
      <c r="O411" s="44"/>
      <c r="P411" s="65"/>
    </row>
    <row r="412" spans="9:16" x14ac:dyDescent="0.3">
      <c r="I412" s="89"/>
      <c r="J412" s="15"/>
      <c r="K412" s="29"/>
      <c r="L412" s="89"/>
      <c r="M412" s="58"/>
      <c r="N412" s="44"/>
      <c r="O412" s="44"/>
      <c r="P412" s="65"/>
    </row>
    <row r="413" spans="9:16" x14ac:dyDescent="0.3">
      <c r="I413" s="89"/>
      <c r="J413" s="15"/>
      <c r="K413" s="29"/>
      <c r="L413" s="89"/>
      <c r="M413" s="58"/>
      <c r="N413" s="44"/>
      <c r="O413" s="44"/>
      <c r="P413" s="65"/>
    </row>
    <row r="414" spans="9:16" x14ac:dyDescent="0.3">
      <c r="I414" s="89"/>
      <c r="J414" s="15"/>
      <c r="K414" s="29"/>
      <c r="L414" s="89"/>
      <c r="M414" s="58"/>
      <c r="N414" s="44"/>
      <c r="O414" s="44"/>
      <c r="P414" s="65"/>
    </row>
    <row r="415" spans="9:16" x14ac:dyDescent="0.3">
      <c r="I415" s="89"/>
      <c r="J415" s="15"/>
      <c r="K415" s="29"/>
      <c r="L415" s="89"/>
      <c r="M415" s="58"/>
      <c r="N415" s="44"/>
      <c r="O415" s="44"/>
      <c r="P415" s="65"/>
    </row>
    <row r="416" spans="9:16" x14ac:dyDescent="0.3">
      <c r="I416" s="89"/>
      <c r="J416" s="15"/>
      <c r="K416" s="29"/>
      <c r="L416" s="89"/>
      <c r="M416" s="58"/>
      <c r="N416" s="44"/>
      <c r="O416" s="44"/>
      <c r="P416" s="65"/>
    </row>
    <row r="417" spans="9:16" x14ac:dyDescent="0.3">
      <c r="I417" s="89"/>
      <c r="J417" s="15"/>
      <c r="K417" s="29"/>
      <c r="L417" s="89"/>
      <c r="M417" s="58"/>
      <c r="N417" s="44"/>
      <c r="O417" s="44"/>
      <c r="P417" s="65"/>
    </row>
    <row r="418" spans="9:16" x14ac:dyDescent="0.3">
      <c r="I418" s="89"/>
      <c r="J418" s="15"/>
      <c r="K418" s="29"/>
      <c r="L418" s="89"/>
      <c r="M418" s="58"/>
      <c r="N418" s="44"/>
      <c r="O418" s="44"/>
      <c r="P418" s="65"/>
    </row>
    <row r="419" spans="9:16" x14ac:dyDescent="0.3">
      <c r="I419" s="89"/>
      <c r="J419" s="15"/>
      <c r="K419" s="29"/>
      <c r="L419" s="89"/>
      <c r="M419" s="58"/>
      <c r="N419" s="44"/>
      <c r="O419" s="44"/>
      <c r="P419" s="65"/>
    </row>
    <row r="420" spans="9:16" x14ac:dyDescent="0.3">
      <c r="I420" s="89"/>
      <c r="J420" s="15"/>
      <c r="K420" s="29"/>
      <c r="L420" s="89"/>
      <c r="M420" s="58"/>
      <c r="N420" s="44"/>
      <c r="O420" s="44"/>
      <c r="P420" s="65"/>
    </row>
    <row r="421" spans="9:16" x14ac:dyDescent="0.3">
      <c r="I421" s="89"/>
      <c r="J421" s="15"/>
      <c r="K421" s="29"/>
      <c r="L421" s="89"/>
      <c r="M421" s="58"/>
      <c r="N421" s="44"/>
      <c r="O421" s="44"/>
      <c r="P421" s="65"/>
    </row>
    <row r="422" spans="9:16" x14ac:dyDescent="0.3">
      <c r="I422" s="89"/>
      <c r="J422" s="15"/>
      <c r="K422" s="29"/>
      <c r="L422" s="89"/>
      <c r="M422" s="58"/>
      <c r="N422" s="44"/>
      <c r="O422" s="44"/>
      <c r="P422" s="65"/>
    </row>
    <row r="423" spans="9:16" x14ac:dyDescent="0.3">
      <c r="I423" s="89"/>
      <c r="J423" s="15"/>
      <c r="K423" s="29"/>
      <c r="L423" s="89"/>
      <c r="M423" s="58"/>
      <c r="N423" s="44"/>
      <c r="O423" s="44"/>
      <c r="P423" s="65"/>
    </row>
    <row r="424" spans="9:16" x14ac:dyDescent="0.3">
      <c r="I424" s="89"/>
      <c r="J424" s="15"/>
      <c r="K424" s="29"/>
      <c r="L424" s="89"/>
      <c r="M424" s="58"/>
      <c r="N424" s="44"/>
      <c r="O424" s="44"/>
      <c r="P424" s="65"/>
    </row>
    <row r="425" spans="9:16" x14ac:dyDescent="0.3">
      <c r="I425" s="89"/>
      <c r="J425" s="15"/>
      <c r="K425" s="29"/>
      <c r="L425" s="89"/>
      <c r="M425" s="58"/>
      <c r="N425" s="44"/>
      <c r="O425" s="44"/>
      <c r="P425" s="65"/>
    </row>
    <row r="426" spans="9:16" x14ac:dyDescent="0.3">
      <c r="I426" s="89"/>
      <c r="J426" s="15"/>
      <c r="K426" s="29"/>
      <c r="L426" s="89"/>
      <c r="M426" s="58"/>
      <c r="N426" s="44"/>
      <c r="O426" s="44"/>
      <c r="P426" s="65"/>
    </row>
    <row r="427" spans="9:16" x14ac:dyDescent="0.3">
      <c r="I427" s="89"/>
      <c r="J427" s="15"/>
      <c r="K427" s="29"/>
      <c r="L427" s="89"/>
      <c r="M427" s="58"/>
      <c r="N427" s="44"/>
      <c r="O427" s="44"/>
      <c r="P427" s="65"/>
    </row>
    <row r="428" spans="9:16" x14ac:dyDescent="0.3">
      <c r="I428" s="89"/>
      <c r="J428" s="15"/>
      <c r="K428" s="29"/>
      <c r="L428" s="89"/>
      <c r="M428" s="58"/>
      <c r="N428" s="44"/>
      <c r="O428" s="44"/>
      <c r="P428" s="65"/>
    </row>
    <row r="429" spans="9:16" x14ac:dyDescent="0.3">
      <c r="I429" s="89"/>
      <c r="J429" s="15"/>
      <c r="K429" s="29"/>
      <c r="L429" s="89"/>
      <c r="M429" s="58"/>
      <c r="N429" s="44"/>
      <c r="O429" s="44"/>
      <c r="P429" s="65"/>
    </row>
    <row r="430" spans="9:16" x14ac:dyDescent="0.3">
      <c r="I430" s="89"/>
      <c r="J430" s="15"/>
      <c r="K430" s="29"/>
      <c r="L430" s="89"/>
      <c r="M430" s="58"/>
      <c r="N430" s="44"/>
      <c r="O430" s="44"/>
      <c r="P430" s="65"/>
    </row>
    <row r="431" spans="9:16" x14ac:dyDescent="0.3">
      <c r="I431" s="89"/>
      <c r="J431" s="15"/>
      <c r="K431" s="29"/>
      <c r="L431" s="89"/>
      <c r="M431" s="58"/>
      <c r="N431" s="44"/>
      <c r="O431" s="44"/>
      <c r="P431" s="65"/>
    </row>
    <row r="432" spans="9:16" x14ac:dyDescent="0.3">
      <c r="I432" s="89"/>
      <c r="J432" s="15"/>
      <c r="K432" s="29"/>
      <c r="L432" s="89"/>
      <c r="M432" s="58"/>
      <c r="N432" s="44"/>
      <c r="O432" s="44"/>
      <c r="P432" s="65"/>
    </row>
    <row r="433" spans="9:16" x14ac:dyDescent="0.3">
      <c r="I433" s="89"/>
      <c r="J433" s="15"/>
      <c r="K433" s="29"/>
      <c r="L433" s="89"/>
      <c r="M433" s="58"/>
      <c r="N433" s="44"/>
      <c r="O433" s="44"/>
      <c r="P433" s="65"/>
    </row>
    <row r="434" spans="9:16" x14ac:dyDescent="0.3">
      <c r="I434" s="89"/>
      <c r="J434" s="15"/>
      <c r="K434" s="29"/>
      <c r="L434" s="89"/>
      <c r="M434" s="58"/>
      <c r="N434" s="44"/>
      <c r="O434" s="44"/>
      <c r="P434" s="65"/>
    </row>
    <row r="435" spans="9:16" x14ac:dyDescent="0.3">
      <c r="I435" s="89"/>
      <c r="J435" s="15"/>
      <c r="K435" s="29"/>
      <c r="L435" s="89"/>
      <c r="M435" s="58"/>
      <c r="N435" s="44"/>
      <c r="O435" s="44"/>
      <c r="P435" s="65"/>
    </row>
    <row r="436" spans="9:16" x14ac:dyDescent="0.3">
      <c r="I436" s="89"/>
      <c r="J436" s="15"/>
      <c r="K436" s="29"/>
      <c r="L436" s="89"/>
      <c r="M436" s="58"/>
      <c r="N436" s="44"/>
      <c r="O436" s="44"/>
      <c r="P436" s="65"/>
    </row>
    <row r="437" spans="9:16" x14ac:dyDescent="0.3">
      <c r="I437" s="89"/>
      <c r="J437" s="15"/>
      <c r="K437" s="29"/>
      <c r="L437" s="89"/>
      <c r="M437" s="58"/>
      <c r="N437" s="44"/>
      <c r="O437" s="44"/>
      <c r="P437" s="65"/>
    </row>
    <row r="438" spans="9:16" x14ac:dyDescent="0.3">
      <c r="I438" s="89"/>
      <c r="J438" s="15"/>
      <c r="K438" s="29"/>
      <c r="L438" s="89"/>
      <c r="M438" s="58"/>
      <c r="N438" s="44"/>
      <c r="O438" s="44"/>
      <c r="P438" s="65"/>
    </row>
    <row r="439" spans="9:16" x14ac:dyDescent="0.3">
      <c r="I439" s="89"/>
      <c r="J439" s="15"/>
      <c r="K439" s="29"/>
      <c r="L439" s="89"/>
      <c r="M439" s="58"/>
      <c r="N439" s="44"/>
      <c r="O439" s="44"/>
      <c r="P439" s="65"/>
    </row>
    <row r="440" spans="9:16" x14ac:dyDescent="0.3">
      <c r="I440" s="89"/>
      <c r="J440" s="15"/>
      <c r="K440" s="29"/>
      <c r="L440" s="89"/>
      <c r="M440" s="58"/>
      <c r="N440" s="44"/>
      <c r="O440" s="44"/>
      <c r="P440" s="65"/>
    </row>
    <row r="441" spans="9:16" x14ac:dyDescent="0.3">
      <c r="I441" s="89"/>
      <c r="J441" s="15"/>
      <c r="K441" s="29"/>
      <c r="L441" s="89"/>
      <c r="M441" s="58"/>
      <c r="N441" s="44"/>
      <c r="O441" s="44"/>
      <c r="P441" s="65"/>
    </row>
    <row r="442" spans="9:16" x14ac:dyDescent="0.3">
      <c r="I442" s="89"/>
      <c r="J442" s="15"/>
      <c r="K442" s="29"/>
      <c r="L442" s="89"/>
      <c r="M442" s="58"/>
      <c r="N442" s="44"/>
      <c r="O442" s="44"/>
      <c r="P442" s="65"/>
    </row>
    <row r="443" spans="9:16" x14ac:dyDescent="0.3">
      <c r="I443" s="89"/>
      <c r="J443" s="15"/>
      <c r="K443" s="29"/>
      <c r="L443" s="89"/>
      <c r="M443" s="58"/>
      <c r="N443" s="44"/>
      <c r="O443" s="44"/>
      <c r="P443" s="65"/>
    </row>
    <row r="444" spans="9:16" x14ac:dyDescent="0.3">
      <c r="I444" s="89"/>
      <c r="J444" s="15"/>
      <c r="K444" s="29"/>
      <c r="L444" s="89"/>
      <c r="M444" s="58"/>
      <c r="N444" s="44"/>
      <c r="O444" s="44"/>
      <c r="P444" s="65"/>
    </row>
    <row r="445" spans="9:16" x14ac:dyDescent="0.3">
      <c r="I445" s="89"/>
      <c r="J445" s="15"/>
      <c r="K445" s="29"/>
      <c r="L445" s="89"/>
      <c r="M445" s="58"/>
      <c r="N445" s="44"/>
      <c r="O445" s="44"/>
      <c r="P445" s="65"/>
    </row>
    <row r="446" spans="9:16" x14ac:dyDescent="0.3">
      <c r="I446" s="89"/>
      <c r="J446" s="15"/>
      <c r="K446" s="29"/>
      <c r="L446" s="89"/>
      <c r="M446" s="58"/>
      <c r="N446" s="44"/>
      <c r="O446" s="44"/>
      <c r="P446" s="65"/>
    </row>
    <row r="447" spans="9:16" x14ac:dyDescent="0.3">
      <c r="I447" s="89"/>
      <c r="J447" s="15"/>
      <c r="K447" s="29"/>
      <c r="L447" s="89"/>
      <c r="M447" s="58"/>
      <c r="N447" s="44"/>
      <c r="O447" s="44"/>
      <c r="P447" s="65"/>
    </row>
    <row r="448" spans="9:16" x14ac:dyDescent="0.3">
      <c r="I448" s="89"/>
      <c r="J448" s="15"/>
      <c r="K448" s="29"/>
      <c r="L448" s="89"/>
      <c r="M448" s="58"/>
      <c r="N448" s="44"/>
      <c r="O448" s="44"/>
      <c r="P448" s="65"/>
    </row>
    <row r="449" spans="9:16" x14ac:dyDescent="0.3">
      <c r="I449" s="89"/>
      <c r="J449" s="15"/>
      <c r="K449" s="29"/>
      <c r="L449" s="89"/>
      <c r="M449" s="58"/>
      <c r="N449" s="44"/>
      <c r="O449" s="44"/>
      <c r="P449" s="65"/>
    </row>
    <row r="450" spans="9:16" x14ac:dyDescent="0.3">
      <c r="I450" s="89"/>
      <c r="J450" s="15"/>
      <c r="K450" s="29"/>
      <c r="L450" s="89"/>
      <c r="M450" s="58"/>
      <c r="N450" s="44"/>
      <c r="O450" s="44"/>
      <c r="P450" s="65"/>
    </row>
    <row r="451" spans="9:16" x14ac:dyDescent="0.3">
      <c r="I451" s="89"/>
      <c r="J451" s="15"/>
      <c r="K451" s="29"/>
      <c r="L451" s="89"/>
      <c r="M451" s="58"/>
      <c r="N451" s="44"/>
      <c r="O451" s="44"/>
      <c r="P451" s="65"/>
    </row>
    <row r="452" spans="9:16" x14ac:dyDescent="0.3">
      <c r="I452" s="89"/>
      <c r="J452" s="15"/>
      <c r="K452" s="29"/>
      <c r="L452" s="89"/>
      <c r="M452" s="58"/>
      <c r="N452" s="44"/>
      <c r="O452" s="44"/>
      <c r="P452" s="65"/>
    </row>
    <row r="453" spans="9:16" x14ac:dyDescent="0.3">
      <c r="I453" s="89"/>
      <c r="J453" s="15"/>
      <c r="K453" s="29"/>
      <c r="L453" s="89"/>
      <c r="M453" s="58"/>
      <c r="N453" s="44"/>
      <c r="O453" s="44"/>
      <c r="P453" s="65"/>
    </row>
    <row r="454" spans="9:16" x14ac:dyDescent="0.3">
      <c r="I454" s="89"/>
      <c r="J454" s="15"/>
      <c r="K454" s="29"/>
      <c r="L454" s="89"/>
      <c r="M454" s="58"/>
      <c r="N454" s="44"/>
      <c r="O454" s="44"/>
      <c r="P454" s="65"/>
    </row>
    <row r="455" spans="9:16" x14ac:dyDescent="0.3">
      <c r="I455" s="89"/>
      <c r="J455" s="15"/>
      <c r="K455" s="29"/>
      <c r="L455" s="89"/>
      <c r="M455" s="58"/>
      <c r="N455" s="44"/>
      <c r="O455" s="44"/>
      <c r="P455" s="65"/>
    </row>
    <row r="456" spans="9:16" x14ac:dyDescent="0.3">
      <c r="I456" s="89"/>
      <c r="J456" s="15"/>
      <c r="K456" s="29"/>
      <c r="L456" s="89"/>
      <c r="M456" s="58"/>
      <c r="N456" s="44"/>
      <c r="O456" s="44"/>
      <c r="P456" s="65"/>
    </row>
    <row r="457" spans="9:16" x14ac:dyDescent="0.3">
      <c r="I457" s="89"/>
      <c r="J457" s="15"/>
      <c r="K457" s="29"/>
      <c r="L457" s="89"/>
      <c r="M457" s="58"/>
      <c r="N457" s="44"/>
      <c r="O457" s="44"/>
      <c r="P457" s="65"/>
    </row>
    <row r="458" spans="9:16" x14ac:dyDescent="0.3">
      <c r="I458" s="89"/>
      <c r="J458" s="15"/>
      <c r="K458" s="29"/>
      <c r="L458" s="89"/>
      <c r="M458" s="58"/>
      <c r="N458" s="44"/>
      <c r="O458" s="44"/>
      <c r="P458" s="65"/>
    </row>
    <row r="459" spans="9:16" x14ac:dyDescent="0.3">
      <c r="I459" s="89"/>
      <c r="J459" s="15"/>
      <c r="K459" s="29"/>
      <c r="L459" s="89"/>
      <c r="M459" s="58"/>
      <c r="N459" s="44"/>
      <c r="O459" s="44"/>
      <c r="P459" s="65"/>
    </row>
    <row r="460" spans="9:16" x14ac:dyDescent="0.3">
      <c r="I460" s="89"/>
      <c r="J460" s="15"/>
      <c r="K460" s="29"/>
      <c r="L460" s="89"/>
      <c r="M460" s="58"/>
      <c r="N460" s="44"/>
      <c r="O460" s="44"/>
      <c r="P460" s="65"/>
    </row>
    <row r="461" spans="9:16" x14ac:dyDescent="0.3">
      <c r="I461" s="89"/>
      <c r="J461" s="15"/>
      <c r="K461" s="29"/>
      <c r="L461" s="89"/>
      <c r="M461" s="58"/>
      <c r="N461" s="44"/>
      <c r="O461" s="44"/>
      <c r="P461" s="65"/>
    </row>
    <row r="462" spans="9:16" x14ac:dyDescent="0.3">
      <c r="I462" s="89"/>
      <c r="J462" s="15"/>
      <c r="K462" s="29"/>
      <c r="L462" s="89"/>
      <c r="M462" s="58"/>
      <c r="N462" s="44"/>
      <c r="O462" s="44"/>
      <c r="P462" s="65"/>
    </row>
    <row r="463" spans="9:16" x14ac:dyDescent="0.3">
      <c r="I463" s="89"/>
      <c r="J463" s="15"/>
      <c r="K463" s="29"/>
      <c r="L463" s="89"/>
      <c r="M463" s="58"/>
      <c r="N463" s="44"/>
      <c r="O463" s="44"/>
      <c r="P463" s="65"/>
    </row>
    <row r="464" spans="9:16" x14ac:dyDescent="0.3">
      <c r="I464" s="89"/>
      <c r="J464" s="15"/>
      <c r="K464" s="29"/>
      <c r="L464" s="89"/>
      <c r="M464" s="58"/>
      <c r="N464" s="44"/>
      <c r="O464" s="44"/>
      <c r="P464" s="65"/>
    </row>
    <row r="465" spans="9:16" x14ac:dyDescent="0.3">
      <c r="I465" s="89"/>
      <c r="J465" s="15"/>
      <c r="K465" s="29"/>
      <c r="L465" s="89"/>
      <c r="M465" s="58"/>
      <c r="N465" s="44"/>
      <c r="O465" s="44"/>
      <c r="P465" s="65"/>
    </row>
    <row r="466" spans="9:16" x14ac:dyDescent="0.3">
      <c r="I466" s="89"/>
      <c r="J466" s="15"/>
      <c r="K466" s="29"/>
      <c r="L466" s="89"/>
      <c r="M466" s="58"/>
      <c r="N466" s="44"/>
      <c r="O466" s="44"/>
      <c r="P466" s="65"/>
    </row>
    <row r="467" spans="9:16" x14ac:dyDescent="0.3">
      <c r="I467" s="89"/>
      <c r="J467" s="15"/>
      <c r="K467" s="29"/>
      <c r="L467" s="89"/>
      <c r="M467" s="58"/>
      <c r="N467" s="44"/>
      <c r="O467" s="44"/>
      <c r="P467" s="65"/>
    </row>
    <row r="468" spans="9:16" x14ac:dyDescent="0.3">
      <c r="I468" s="89"/>
      <c r="J468" s="15"/>
      <c r="K468" s="29"/>
      <c r="L468" s="89"/>
      <c r="M468" s="58"/>
      <c r="N468" s="44"/>
      <c r="O468" s="44"/>
      <c r="P468" s="65"/>
    </row>
    <row r="469" spans="9:16" x14ac:dyDescent="0.3">
      <c r="I469" s="89"/>
      <c r="J469" s="15"/>
      <c r="K469" s="29"/>
      <c r="L469" s="89"/>
      <c r="M469" s="58"/>
      <c r="N469" s="44"/>
      <c r="O469" s="44"/>
      <c r="P469" s="65"/>
    </row>
    <row r="470" spans="9:16" x14ac:dyDescent="0.3">
      <c r="I470" s="89"/>
      <c r="J470" s="15"/>
      <c r="K470" s="29"/>
      <c r="L470" s="89"/>
      <c r="M470" s="58"/>
      <c r="N470" s="44"/>
      <c r="O470" s="44"/>
      <c r="P470" s="65"/>
    </row>
    <row r="471" spans="9:16" x14ac:dyDescent="0.3">
      <c r="I471" s="89"/>
      <c r="J471" s="15"/>
      <c r="K471" s="29"/>
      <c r="L471" s="89"/>
      <c r="M471" s="58"/>
      <c r="N471" s="44"/>
      <c r="O471" s="44"/>
      <c r="P471" s="65"/>
    </row>
    <row r="472" spans="9:16" x14ac:dyDescent="0.3">
      <c r="I472" s="89"/>
      <c r="J472" s="15"/>
      <c r="K472" s="29"/>
      <c r="L472" s="89"/>
      <c r="M472" s="58"/>
      <c r="N472" s="44"/>
      <c r="O472" s="44"/>
      <c r="P472" s="65"/>
    </row>
    <row r="473" spans="9:16" x14ac:dyDescent="0.3">
      <c r="I473" s="89"/>
      <c r="J473" s="15"/>
      <c r="K473" s="29"/>
      <c r="L473" s="89"/>
      <c r="M473" s="58"/>
      <c r="N473" s="44"/>
      <c r="O473" s="44"/>
      <c r="P473" s="65"/>
    </row>
    <row r="474" spans="9:16" x14ac:dyDescent="0.3">
      <c r="I474" s="89"/>
      <c r="J474" s="15"/>
      <c r="K474" s="29"/>
      <c r="L474" s="89"/>
      <c r="M474" s="58"/>
      <c r="N474" s="44"/>
      <c r="O474" s="44"/>
      <c r="P474" s="65"/>
    </row>
    <row r="475" spans="9:16" x14ac:dyDescent="0.3">
      <c r="I475" s="89"/>
      <c r="J475" s="15"/>
      <c r="K475" s="29"/>
      <c r="L475" s="89"/>
      <c r="M475" s="58"/>
      <c r="N475" s="44"/>
      <c r="O475" s="44"/>
      <c r="P475" s="65"/>
    </row>
    <row r="476" spans="9:16" x14ac:dyDescent="0.3">
      <c r="I476" s="89"/>
      <c r="J476" s="15"/>
      <c r="K476" s="29"/>
      <c r="L476" s="89"/>
      <c r="M476" s="58"/>
      <c r="N476" s="44"/>
      <c r="O476" s="44"/>
      <c r="P476" s="65"/>
    </row>
    <row r="477" spans="9:16" x14ac:dyDescent="0.3">
      <c r="I477" s="89"/>
      <c r="J477" s="15"/>
      <c r="K477" s="29"/>
      <c r="L477" s="89"/>
      <c r="M477" s="58"/>
      <c r="N477" s="44"/>
      <c r="O477" s="44"/>
      <c r="P477" s="65"/>
    </row>
    <row r="478" spans="9:16" x14ac:dyDescent="0.3">
      <c r="I478" s="89"/>
      <c r="J478" s="15"/>
      <c r="K478" s="29"/>
      <c r="L478" s="89"/>
      <c r="M478" s="58"/>
      <c r="N478" s="44"/>
      <c r="O478" s="44"/>
      <c r="P478" s="65"/>
    </row>
    <row r="479" spans="9:16" x14ac:dyDescent="0.3">
      <c r="I479" s="89"/>
      <c r="J479" s="15"/>
      <c r="K479" s="29"/>
      <c r="L479" s="89"/>
      <c r="M479" s="58"/>
      <c r="N479" s="44"/>
      <c r="O479" s="44"/>
      <c r="P479" s="65"/>
    </row>
    <row r="480" spans="9:16" x14ac:dyDescent="0.3">
      <c r="I480" s="89"/>
      <c r="J480" s="15"/>
      <c r="K480" s="29"/>
      <c r="L480" s="89"/>
      <c r="M480" s="58"/>
      <c r="N480" s="44"/>
      <c r="O480" s="44"/>
      <c r="P480" s="65"/>
    </row>
    <row r="481" spans="9:16" x14ac:dyDescent="0.3">
      <c r="I481" s="89"/>
      <c r="J481" s="15"/>
      <c r="K481" s="29"/>
      <c r="L481" s="89"/>
      <c r="M481" s="58"/>
      <c r="N481" s="44"/>
      <c r="O481" s="44"/>
      <c r="P481" s="65"/>
    </row>
    <row r="482" spans="9:16" x14ac:dyDescent="0.3">
      <c r="I482" s="89"/>
      <c r="J482" s="15"/>
      <c r="K482" s="29"/>
      <c r="L482" s="89"/>
      <c r="M482" s="58"/>
      <c r="N482" s="44"/>
      <c r="O482" s="44"/>
      <c r="P482" s="65"/>
    </row>
    <row r="483" spans="9:16" x14ac:dyDescent="0.3">
      <c r="I483" s="89"/>
      <c r="J483" s="15"/>
      <c r="K483" s="29"/>
      <c r="L483" s="89"/>
      <c r="M483" s="58"/>
      <c r="N483" s="44"/>
      <c r="O483" s="44"/>
      <c r="P483" s="65"/>
    </row>
    <row r="484" spans="9:16" x14ac:dyDescent="0.3">
      <c r="I484" s="89"/>
      <c r="J484" s="15"/>
      <c r="K484" s="29"/>
      <c r="L484" s="89"/>
      <c r="M484" s="58"/>
      <c r="N484" s="44"/>
      <c r="O484" s="44"/>
      <c r="P484" s="65"/>
    </row>
    <row r="485" spans="9:16" x14ac:dyDescent="0.3">
      <c r="I485" s="89"/>
      <c r="J485" s="15"/>
      <c r="K485" s="29"/>
      <c r="L485" s="89"/>
      <c r="M485" s="58"/>
      <c r="N485" s="44"/>
      <c r="O485" s="44"/>
      <c r="P485" s="65"/>
    </row>
    <row r="486" spans="9:16" x14ac:dyDescent="0.3">
      <c r="I486" s="89"/>
      <c r="J486" s="15"/>
      <c r="K486" s="29"/>
      <c r="L486" s="89"/>
      <c r="M486" s="58"/>
      <c r="N486" s="44"/>
      <c r="O486" s="44"/>
      <c r="P486" s="65"/>
    </row>
    <row r="487" spans="9:16" x14ac:dyDescent="0.3">
      <c r="I487" s="89"/>
      <c r="J487" s="15"/>
      <c r="K487" s="29"/>
      <c r="L487" s="89"/>
      <c r="M487" s="58"/>
      <c r="N487" s="44"/>
      <c r="O487" s="44"/>
      <c r="P487" s="65"/>
    </row>
    <row r="488" spans="9:16" x14ac:dyDescent="0.3">
      <c r="I488" s="89"/>
      <c r="J488" s="15"/>
      <c r="K488" s="29"/>
      <c r="L488" s="89"/>
      <c r="M488" s="58"/>
      <c r="N488" s="44"/>
      <c r="O488" s="44"/>
      <c r="P488" s="65"/>
    </row>
    <row r="489" spans="9:16" x14ac:dyDescent="0.3">
      <c r="I489" s="89"/>
      <c r="J489" s="15"/>
      <c r="K489" s="29"/>
      <c r="L489" s="89"/>
      <c r="M489" s="58"/>
      <c r="N489" s="44"/>
      <c r="O489" s="44"/>
      <c r="P489" s="65"/>
    </row>
    <row r="490" spans="9:16" x14ac:dyDescent="0.3">
      <c r="I490" s="89"/>
      <c r="J490" s="15"/>
      <c r="K490" s="29"/>
      <c r="L490" s="89"/>
      <c r="M490" s="58"/>
      <c r="N490" s="44"/>
      <c r="O490" s="44"/>
      <c r="P490" s="65"/>
    </row>
    <row r="491" spans="9:16" x14ac:dyDescent="0.3">
      <c r="I491" s="89"/>
      <c r="J491" s="15"/>
      <c r="K491" s="29"/>
      <c r="L491" s="89"/>
      <c r="M491" s="58"/>
      <c r="N491" s="44"/>
      <c r="O491" s="44"/>
      <c r="P491" s="65"/>
    </row>
    <row r="492" spans="9:16" x14ac:dyDescent="0.3">
      <c r="I492" s="89"/>
      <c r="J492" s="15"/>
      <c r="K492" s="29"/>
      <c r="L492" s="89"/>
      <c r="M492" s="58"/>
      <c r="N492" s="44"/>
      <c r="O492" s="44"/>
      <c r="P492" s="65"/>
    </row>
    <row r="493" spans="9:16" x14ac:dyDescent="0.3">
      <c r="I493" s="89"/>
      <c r="J493" s="15"/>
      <c r="K493" s="29"/>
      <c r="L493" s="89"/>
      <c r="M493" s="58"/>
      <c r="N493" s="44"/>
      <c r="O493" s="44"/>
      <c r="P493" s="65"/>
    </row>
    <row r="494" spans="9:16" x14ac:dyDescent="0.3">
      <c r="I494" s="89"/>
      <c r="J494" s="15"/>
      <c r="K494" s="29"/>
      <c r="L494" s="89"/>
      <c r="M494" s="58"/>
      <c r="N494" s="44"/>
      <c r="O494" s="44"/>
      <c r="P494" s="65"/>
    </row>
    <row r="495" spans="9:16" x14ac:dyDescent="0.3">
      <c r="I495" s="89"/>
      <c r="J495" s="15"/>
      <c r="K495" s="29"/>
      <c r="L495" s="89"/>
      <c r="M495" s="58"/>
      <c r="N495" s="44"/>
      <c r="O495" s="44"/>
      <c r="P495" s="65"/>
    </row>
    <row r="496" spans="9:16" x14ac:dyDescent="0.3">
      <c r="I496" s="89"/>
      <c r="J496" s="15"/>
      <c r="K496" s="29"/>
      <c r="L496" s="89"/>
      <c r="M496" s="58"/>
      <c r="N496" s="44"/>
      <c r="O496" s="44"/>
      <c r="P496" s="65"/>
    </row>
    <row r="497" spans="9:16" x14ac:dyDescent="0.3">
      <c r="I497" s="89"/>
      <c r="J497" s="15"/>
      <c r="K497" s="29"/>
      <c r="L497" s="89"/>
      <c r="M497" s="58"/>
      <c r="N497" s="44"/>
      <c r="O497" s="44"/>
      <c r="P497" s="65"/>
    </row>
    <row r="498" spans="9:16" x14ac:dyDescent="0.3">
      <c r="I498" s="89"/>
      <c r="J498" s="15"/>
      <c r="K498" s="29"/>
      <c r="L498" s="89"/>
      <c r="M498" s="58"/>
      <c r="N498" s="44"/>
      <c r="O498" s="44"/>
      <c r="P498" s="65"/>
    </row>
    <row r="499" spans="9:16" x14ac:dyDescent="0.3">
      <c r="I499" s="89"/>
      <c r="J499" s="15"/>
      <c r="K499" s="29"/>
      <c r="L499" s="89"/>
      <c r="M499" s="58"/>
      <c r="N499" s="44"/>
      <c r="O499" s="44"/>
      <c r="P499" s="65"/>
    </row>
    <row r="500" spans="9:16" x14ac:dyDescent="0.3">
      <c r="I500" s="89"/>
      <c r="J500" s="15"/>
      <c r="K500" s="29"/>
      <c r="L500" s="89"/>
      <c r="M500" s="58"/>
      <c r="N500" s="44"/>
      <c r="O500" s="44"/>
      <c r="P500" s="65"/>
    </row>
    <row r="501" spans="9:16" x14ac:dyDescent="0.3">
      <c r="I501" s="89"/>
      <c r="J501" s="15"/>
      <c r="K501" s="29"/>
      <c r="L501" s="89"/>
      <c r="M501" s="58"/>
      <c r="N501" s="44"/>
      <c r="O501" s="44"/>
      <c r="P501" s="65"/>
    </row>
    <row r="502" spans="9:16" x14ac:dyDescent="0.3">
      <c r="I502" s="89"/>
      <c r="J502" s="15"/>
      <c r="K502" s="29"/>
      <c r="L502" s="89"/>
      <c r="M502" s="58"/>
      <c r="N502" s="44"/>
      <c r="O502" s="44"/>
      <c r="P502" s="65"/>
    </row>
    <row r="503" spans="9:16" x14ac:dyDescent="0.3">
      <c r="I503" s="89"/>
      <c r="J503" s="15"/>
      <c r="K503" s="29"/>
      <c r="L503" s="89"/>
      <c r="M503" s="58"/>
      <c r="N503" s="44"/>
      <c r="O503" s="44"/>
      <c r="P503" s="65"/>
    </row>
    <row r="504" spans="9:16" x14ac:dyDescent="0.3">
      <c r="I504" s="89"/>
      <c r="J504" s="15"/>
      <c r="K504" s="29"/>
      <c r="L504" s="89"/>
      <c r="M504" s="58"/>
      <c r="N504" s="44"/>
      <c r="O504" s="44"/>
      <c r="P504" s="65"/>
    </row>
    <row r="505" spans="9:16" x14ac:dyDescent="0.3">
      <c r="I505" s="89"/>
      <c r="J505" s="15"/>
      <c r="K505" s="29"/>
      <c r="L505" s="89"/>
      <c r="M505" s="58"/>
      <c r="N505" s="44"/>
      <c r="O505" s="44"/>
      <c r="P505" s="65"/>
    </row>
    <row r="506" spans="9:16" x14ac:dyDescent="0.3">
      <c r="I506" s="89"/>
      <c r="J506" s="15"/>
      <c r="K506" s="29"/>
      <c r="L506" s="89"/>
      <c r="M506" s="58"/>
      <c r="N506" s="44"/>
      <c r="O506" s="44"/>
      <c r="P506" s="65"/>
    </row>
    <row r="507" spans="9:16" x14ac:dyDescent="0.3">
      <c r="I507" s="89"/>
      <c r="J507" s="15"/>
      <c r="K507" s="29"/>
      <c r="L507" s="89"/>
      <c r="M507" s="58"/>
      <c r="N507" s="44"/>
      <c r="O507" s="44"/>
      <c r="P507" s="65"/>
    </row>
    <row r="508" spans="9:16" x14ac:dyDescent="0.3">
      <c r="I508" s="89"/>
      <c r="J508" s="15"/>
      <c r="K508" s="29"/>
      <c r="L508" s="89"/>
      <c r="M508" s="58"/>
      <c r="N508" s="44"/>
      <c r="O508" s="44"/>
      <c r="P508" s="65"/>
    </row>
    <row r="509" spans="9:16" x14ac:dyDescent="0.3">
      <c r="I509" s="89"/>
      <c r="J509" s="15"/>
      <c r="K509" s="29"/>
      <c r="L509" s="89"/>
      <c r="M509" s="58"/>
      <c r="N509" s="44"/>
      <c r="O509" s="44"/>
      <c r="P509" s="44"/>
    </row>
    <row r="510" spans="9:16" x14ac:dyDescent="0.3">
      <c r="I510" s="89"/>
      <c r="J510" s="15"/>
      <c r="K510" s="29"/>
      <c r="L510" s="89"/>
      <c r="M510" s="58"/>
      <c r="N510" s="44"/>
      <c r="O510" s="44"/>
      <c r="P510" s="65"/>
    </row>
    <row r="511" spans="9:16" x14ac:dyDescent="0.3">
      <c r="I511" s="89"/>
      <c r="J511" s="15"/>
      <c r="K511" s="29"/>
      <c r="L511" s="89"/>
      <c r="M511" s="58"/>
      <c r="N511" s="44"/>
      <c r="O511" s="44"/>
      <c r="P511" s="65"/>
    </row>
    <row r="512" spans="9:16" x14ac:dyDescent="0.3">
      <c r="I512" s="89"/>
      <c r="J512" s="15"/>
      <c r="K512" s="29"/>
      <c r="L512" s="89"/>
      <c r="M512" s="58"/>
      <c r="N512" s="44"/>
      <c r="O512" s="44"/>
      <c r="P512" s="65"/>
    </row>
    <row r="513" spans="9:16" x14ac:dyDescent="0.3">
      <c r="I513" s="89"/>
      <c r="J513" s="15"/>
      <c r="K513" s="29"/>
      <c r="L513" s="89"/>
      <c r="M513" s="58"/>
      <c r="N513" s="44"/>
      <c r="O513" s="44"/>
      <c r="P513" s="65"/>
    </row>
    <row r="514" spans="9:16" x14ac:dyDescent="0.3">
      <c r="I514" s="89"/>
      <c r="J514" s="15"/>
      <c r="K514" s="29"/>
      <c r="L514" s="89"/>
      <c r="M514" s="58"/>
      <c r="N514" s="44"/>
      <c r="O514" s="44"/>
      <c r="P514" s="65"/>
    </row>
    <row r="515" spans="9:16" x14ac:dyDescent="0.3">
      <c r="I515" s="89"/>
      <c r="J515" s="15"/>
      <c r="K515" s="29"/>
      <c r="L515" s="89"/>
      <c r="M515" s="58"/>
      <c r="N515" s="44"/>
      <c r="O515" s="44"/>
      <c r="P515" s="65"/>
    </row>
    <row r="516" spans="9:16" x14ac:dyDescent="0.3">
      <c r="I516" s="89"/>
      <c r="J516" s="15"/>
      <c r="K516" s="29"/>
      <c r="L516" s="89"/>
      <c r="M516" s="58"/>
      <c r="N516" s="44"/>
      <c r="O516" s="44"/>
      <c r="P516" s="65"/>
    </row>
    <row r="517" spans="9:16" x14ac:dyDescent="0.3">
      <c r="I517" s="89"/>
      <c r="J517" s="15"/>
      <c r="K517" s="29"/>
      <c r="L517" s="89"/>
      <c r="M517" s="58"/>
      <c r="N517" s="44"/>
      <c r="O517" s="44"/>
      <c r="P517" s="65"/>
    </row>
    <row r="518" spans="9:16" x14ac:dyDescent="0.3">
      <c r="I518" s="89"/>
      <c r="J518" s="15"/>
      <c r="K518" s="29"/>
      <c r="L518" s="89"/>
      <c r="M518" s="58"/>
      <c r="N518" s="44"/>
      <c r="O518" s="44"/>
      <c r="P518" s="65"/>
    </row>
    <row r="519" spans="9:16" x14ac:dyDescent="0.3">
      <c r="I519" s="89"/>
      <c r="J519" s="15"/>
      <c r="K519" s="29"/>
      <c r="L519" s="89"/>
      <c r="M519" s="58"/>
      <c r="N519" s="44"/>
      <c r="O519" s="44"/>
      <c r="P519" s="65"/>
    </row>
    <row r="520" spans="9:16" x14ac:dyDescent="0.3">
      <c r="I520" s="89"/>
      <c r="J520" s="15"/>
      <c r="K520" s="29"/>
      <c r="L520" s="89"/>
      <c r="M520" s="58"/>
      <c r="N520" s="44"/>
      <c r="O520" s="44"/>
      <c r="P520" s="65"/>
    </row>
    <row r="521" spans="9:16" x14ac:dyDescent="0.3">
      <c r="I521" s="89"/>
      <c r="J521" s="15"/>
      <c r="K521" s="29"/>
      <c r="L521" s="89"/>
      <c r="M521" s="58"/>
      <c r="N521" s="44"/>
      <c r="O521" s="44"/>
      <c r="P521" s="65"/>
    </row>
    <row r="522" spans="9:16" x14ac:dyDescent="0.3">
      <c r="I522" s="89"/>
      <c r="J522" s="15"/>
      <c r="K522" s="29"/>
      <c r="L522" s="89"/>
      <c r="M522" s="58"/>
      <c r="N522" s="44"/>
      <c r="O522" s="44"/>
      <c r="P522" s="65"/>
    </row>
    <row r="523" spans="9:16" x14ac:dyDescent="0.3">
      <c r="I523" s="89"/>
      <c r="J523" s="15"/>
      <c r="K523" s="29"/>
      <c r="L523" s="89"/>
      <c r="M523" s="58"/>
      <c r="N523" s="44"/>
      <c r="O523" s="44"/>
      <c r="P523" s="65"/>
    </row>
    <row r="524" spans="9:16" x14ac:dyDescent="0.3">
      <c r="I524" s="89"/>
      <c r="J524" s="15"/>
      <c r="K524" s="29"/>
      <c r="L524" s="89"/>
      <c r="M524" s="58"/>
      <c r="N524" s="44"/>
      <c r="O524" s="44"/>
      <c r="P524" s="65"/>
    </row>
    <row r="525" spans="9:16" x14ac:dyDescent="0.3">
      <c r="I525" s="89"/>
      <c r="J525" s="15"/>
      <c r="K525" s="29"/>
      <c r="L525" s="89"/>
      <c r="M525" s="58"/>
      <c r="N525" s="44"/>
      <c r="O525" s="44"/>
      <c r="P525" s="65"/>
    </row>
    <row r="526" spans="9:16" x14ac:dyDescent="0.3">
      <c r="I526" s="89"/>
      <c r="J526" s="15"/>
      <c r="K526" s="29"/>
      <c r="L526" s="89"/>
      <c r="M526" s="58"/>
      <c r="N526" s="44"/>
      <c r="O526" s="44"/>
      <c r="P526" s="65"/>
    </row>
    <row r="527" spans="9:16" x14ac:dyDescent="0.3">
      <c r="I527" s="89"/>
      <c r="J527" s="15"/>
      <c r="K527" s="29"/>
      <c r="L527" s="89"/>
      <c r="M527" s="58"/>
      <c r="N527" s="44"/>
      <c r="O527" s="44"/>
      <c r="P527" s="65"/>
    </row>
    <row r="528" spans="9:16" x14ac:dyDescent="0.3">
      <c r="I528" s="89"/>
      <c r="J528" s="15"/>
      <c r="K528" s="29"/>
      <c r="L528" s="89"/>
      <c r="M528" s="58"/>
      <c r="N528" s="44"/>
      <c r="O528" s="44"/>
      <c r="P528" s="65"/>
    </row>
    <row r="529" spans="9:16" x14ac:dyDescent="0.3">
      <c r="I529" s="89"/>
      <c r="J529" s="15"/>
      <c r="K529" s="29"/>
      <c r="L529" s="89"/>
      <c r="M529" s="58"/>
      <c r="N529" s="44"/>
      <c r="O529" s="44"/>
      <c r="P529" s="65"/>
    </row>
    <row r="530" spans="9:16" x14ac:dyDescent="0.3">
      <c r="I530" s="89"/>
      <c r="J530" s="15"/>
      <c r="K530" s="29"/>
      <c r="L530" s="89"/>
      <c r="M530" s="58"/>
      <c r="N530" s="44"/>
      <c r="O530" s="44"/>
      <c r="P530" s="65"/>
    </row>
    <row r="531" spans="9:16" x14ac:dyDescent="0.3">
      <c r="I531" s="89"/>
      <c r="J531" s="15"/>
      <c r="K531" s="29"/>
      <c r="L531" s="89"/>
      <c r="M531" s="58"/>
      <c r="N531" s="44"/>
      <c r="O531" s="44"/>
      <c r="P531" s="65"/>
    </row>
    <row r="532" spans="9:16" x14ac:dyDescent="0.3">
      <c r="I532" s="89"/>
      <c r="J532" s="15"/>
      <c r="K532" s="29"/>
      <c r="L532" s="89"/>
      <c r="M532" s="58"/>
      <c r="N532" s="44"/>
      <c r="O532" s="44"/>
      <c r="P532" s="65"/>
    </row>
    <row r="533" spans="9:16" x14ac:dyDescent="0.3">
      <c r="I533" s="89"/>
      <c r="J533" s="15"/>
      <c r="K533" s="29"/>
      <c r="L533" s="89"/>
      <c r="M533" s="58"/>
      <c r="N533" s="44"/>
      <c r="O533" s="44"/>
      <c r="P533" s="65"/>
    </row>
    <row r="534" spans="9:16" x14ac:dyDescent="0.3">
      <c r="I534" s="89"/>
      <c r="J534" s="15"/>
      <c r="K534" s="29"/>
      <c r="L534" s="89"/>
      <c r="M534" s="58"/>
      <c r="N534" s="44"/>
      <c r="O534" s="44"/>
      <c r="P534" s="65"/>
    </row>
    <row r="535" spans="9:16" x14ac:dyDescent="0.3">
      <c r="I535" s="89"/>
      <c r="J535" s="15"/>
      <c r="K535" s="29"/>
      <c r="L535" s="89"/>
      <c r="M535" s="58"/>
      <c r="N535" s="44"/>
      <c r="O535" s="44"/>
      <c r="P535" s="65"/>
    </row>
    <row r="536" spans="9:16" x14ac:dyDescent="0.3">
      <c r="I536" s="89"/>
      <c r="J536" s="15"/>
      <c r="K536" s="29"/>
      <c r="L536" s="89"/>
      <c r="M536" s="58"/>
      <c r="N536" s="44"/>
      <c r="O536" s="44"/>
      <c r="P536" s="65"/>
    </row>
    <row r="537" spans="9:16" x14ac:dyDescent="0.3">
      <c r="I537" s="89"/>
      <c r="J537" s="15"/>
      <c r="K537" s="29"/>
      <c r="L537" s="89"/>
      <c r="M537" s="58"/>
      <c r="N537" s="44"/>
      <c r="O537" s="44"/>
      <c r="P537" s="65"/>
    </row>
    <row r="538" spans="9:16" x14ac:dyDescent="0.3">
      <c r="I538" s="89"/>
      <c r="J538" s="15"/>
      <c r="K538" s="29"/>
      <c r="L538" s="89"/>
      <c r="M538" s="58"/>
      <c r="N538" s="44"/>
      <c r="O538" s="44"/>
      <c r="P538" s="65"/>
    </row>
    <row r="539" spans="9:16" x14ac:dyDescent="0.3">
      <c r="I539" s="89"/>
      <c r="J539" s="15"/>
      <c r="K539" s="29"/>
      <c r="L539" s="89"/>
      <c r="M539" s="58"/>
      <c r="N539" s="44"/>
      <c r="O539" s="44"/>
      <c r="P539" s="65"/>
    </row>
    <row r="540" spans="9:16" x14ac:dyDescent="0.3">
      <c r="I540" s="89"/>
      <c r="J540" s="15"/>
      <c r="K540" s="29"/>
      <c r="L540" s="89"/>
      <c r="M540" s="58"/>
      <c r="N540" s="44"/>
      <c r="O540" s="44"/>
      <c r="P540" s="65"/>
    </row>
    <row r="541" spans="9:16" x14ac:dyDescent="0.3">
      <c r="I541" s="89"/>
      <c r="J541" s="15"/>
      <c r="K541" s="29"/>
      <c r="L541" s="89"/>
      <c r="M541" s="58"/>
      <c r="N541" s="44"/>
      <c r="O541" s="44"/>
      <c r="P541" s="65"/>
    </row>
    <row r="542" spans="9:16" x14ac:dyDescent="0.3">
      <c r="I542" s="89"/>
      <c r="J542" s="15"/>
      <c r="K542" s="29"/>
      <c r="L542" s="89"/>
      <c r="M542" s="58"/>
      <c r="N542" s="44"/>
      <c r="O542" s="44"/>
      <c r="P542" s="65"/>
    </row>
    <row r="543" spans="9:16" x14ac:dyDescent="0.3">
      <c r="I543" s="89"/>
      <c r="J543" s="15"/>
      <c r="K543" s="29"/>
      <c r="L543" s="89"/>
      <c r="M543" s="58"/>
      <c r="N543" s="44"/>
      <c r="O543" s="44"/>
      <c r="P543" s="65"/>
    </row>
    <row r="544" spans="9:16" x14ac:dyDescent="0.3">
      <c r="I544" s="89"/>
      <c r="J544" s="15"/>
      <c r="K544" s="29"/>
      <c r="L544" s="89"/>
      <c r="M544" s="58"/>
      <c r="N544" s="44"/>
      <c r="O544" s="44"/>
      <c r="P544" s="65"/>
    </row>
    <row r="545" spans="9:16" x14ac:dyDescent="0.3">
      <c r="I545" s="89"/>
      <c r="J545" s="15"/>
      <c r="K545" s="29"/>
      <c r="L545" s="89"/>
      <c r="M545" s="58"/>
      <c r="N545" s="44"/>
      <c r="O545" s="44"/>
      <c r="P545" s="65"/>
    </row>
    <row r="546" spans="9:16" x14ac:dyDescent="0.3">
      <c r="I546" s="89"/>
      <c r="J546" s="15"/>
      <c r="K546" s="29"/>
      <c r="L546" s="89"/>
      <c r="M546" s="58"/>
      <c r="N546" s="44"/>
      <c r="O546" s="44"/>
      <c r="P546" s="65"/>
    </row>
    <row r="547" spans="9:16" x14ac:dyDescent="0.3">
      <c r="I547" s="89"/>
      <c r="J547" s="15"/>
      <c r="K547" s="29"/>
      <c r="L547" s="89"/>
      <c r="M547" s="58"/>
      <c r="N547" s="44"/>
      <c r="O547" s="44"/>
      <c r="P547" s="65"/>
    </row>
    <row r="548" spans="9:16" x14ac:dyDescent="0.3">
      <c r="I548" s="89"/>
      <c r="J548" s="15"/>
      <c r="K548" s="29"/>
      <c r="L548" s="89"/>
      <c r="M548" s="58"/>
      <c r="N548" s="44"/>
      <c r="O548" s="44"/>
      <c r="P548" s="65"/>
    </row>
    <row r="549" spans="9:16" x14ac:dyDescent="0.3">
      <c r="I549" s="89"/>
      <c r="J549" s="15"/>
      <c r="K549" s="29"/>
      <c r="L549" s="89"/>
      <c r="M549" s="58"/>
      <c r="N549" s="44"/>
      <c r="O549" s="44"/>
      <c r="P549" s="65"/>
    </row>
    <row r="550" spans="9:16" x14ac:dyDescent="0.3">
      <c r="I550" s="89"/>
      <c r="J550" s="15"/>
      <c r="K550" s="29"/>
      <c r="L550" s="89"/>
      <c r="M550" s="58"/>
      <c r="N550" s="44"/>
      <c r="O550" s="44"/>
      <c r="P550" s="65"/>
    </row>
    <row r="551" spans="9:16" x14ac:dyDescent="0.3">
      <c r="I551" s="89"/>
      <c r="J551" s="15"/>
      <c r="K551" s="29"/>
      <c r="L551" s="89"/>
      <c r="M551" s="58"/>
      <c r="N551" s="44"/>
      <c r="O551" s="44"/>
      <c r="P551" s="65"/>
    </row>
    <row r="552" spans="9:16" x14ac:dyDescent="0.3">
      <c r="I552" s="89"/>
      <c r="J552" s="15"/>
      <c r="K552" s="29"/>
      <c r="L552" s="89"/>
      <c r="M552" s="58"/>
      <c r="N552" s="44"/>
      <c r="O552" s="44"/>
      <c r="P552" s="65"/>
    </row>
    <row r="553" spans="9:16" x14ac:dyDescent="0.3">
      <c r="I553" s="89"/>
      <c r="J553" s="15"/>
      <c r="K553" s="29"/>
      <c r="L553" s="89"/>
      <c r="M553" s="58"/>
      <c r="N553" s="44"/>
      <c r="O553" s="44"/>
      <c r="P553" s="65"/>
    </row>
    <row r="554" spans="9:16" x14ac:dyDescent="0.3">
      <c r="I554" s="89"/>
      <c r="J554" s="15"/>
      <c r="K554" s="29"/>
      <c r="L554" s="89"/>
      <c r="M554" s="58"/>
      <c r="N554" s="44"/>
      <c r="O554" s="44"/>
      <c r="P554" s="65"/>
    </row>
    <row r="555" spans="9:16" x14ac:dyDescent="0.3">
      <c r="I555" s="89"/>
      <c r="J555" s="15"/>
      <c r="K555" s="29"/>
      <c r="L555" s="89"/>
      <c r="M555" s="58"/>
      <c r="N555" s="44"/>
      <c r="O555" s="44"/>
      <c r="P555" s="65"/>
    </row>
    <row r="556" spans="9:16" x14ac:dyDescent="0.3">
      <c r="I556" s="89"/>
      <c r="J556" s="15"/>
      <c r="K556" s="29"/>
      <c r="L556" s="89"/>
      <c r="M556" s="58"/>
      <c r="N556" s="44"/>
      <c r="O556" s="44"/>
      <c r="P556" s="65"/>
    </row>
    <row r="557" spans="9:16" x14ac:dyDescent="0.3">
      <c r="I557" s="89"/>
      <c r="J557" s="15"/>
      <c r="K557" s="29"/>
      <c r="L557" s="89"/>
      <c r="M557" s="58"/>
      <c r="N557" s="44"/>
      <c r="O557" s="44"/>
      <c r="P557" s="65"/>
    </row>
    <row r="558" spans="9:16" x14ac:dyDescent="0.3">
      <c r="I558" s="89"/>
      <c r="J558" s="15"/>
      <c r="K558" s="29"/>
      <c r="L558" s="89"/>
      <c r="M558" s="58"/>
      <c r="N558" s="44"/>
      <c r="O558" s="44"/>
      <c r="P558" s="65"/>
    </row>
    <row r="559" spans="9:16" x14ac:dyDescent="0.3">
      <c r="I559" s="89"/>
      <c r="J559" s="15"/>
      <c r="K559" s="29"/>
      <c r="L559" s="89"/>
      <c r="M559" s="58"/>
      <c r="N559" s="44"/>
      <c r="O559" s="44"/>
      <c r="P559" s="65"/>
    </row>
    <row r="560" spans="9:16" x14ac:dyDescent="0.3">
      <c r="I560" s="89"/>
      <c r="J560" s="15"/>
      <c r="K560" s="29"/>
      <c r="L560" s="89"/>
      <c r="M560" s="58"/>
      <c r="N560" s="44"/>
      <c r="O560" s="44"/>
      <c r="P560" s="65"/>
    </row>
    <row r="561" spans="9:16" x14ac:dyDescent="0.3">
      <c r="I561" s="89"/>
      <c r="J561" s="15"/>
      <c r="K561" s="29"/>
      <c r="L561" s="89"/>
      <c r="M561" s="58"/>
      <c r="N561" s="44"/>
      <c r="O561" s="44"/>
      <c r="P561" s="65"/>
    </row>
    <row r="562" spans="9:16" x14ac:dyDescent="0.3">
      <c r="I562" s="89"/>
      <c r="J562" s="15"/>
      <c r="K562" s="29"/>
      <c r="L562" s="89"/>
      <c r="M562" s="58"/>
      <c r="N562" s="44"/>
      <c r="O562" s="44"/>
      <c r="P562" s="65"/>
    </row>
    <row r="563" spans="9:16" x14ac:dyDescent="0.3">
      <c r="I563" s="89"/>
      <c r="J563" s="15"/>
      <c r="K563" s="29"/>
      <c r="L563" s="89"/>
      <c r="M563" s="58"/>
      <c r="N563" s="44"/>
      <c r="O563" s="44"/>
      <c r="P563" s="65"/>
    </row>
    <row r="564" spans="9:16" x14ac:dyDescent="0.3">
      <c r="I564" s="89"/>
      <c r="J564" s="15"/>
      <c r="K564" s="29"/>
      <c r="L564" s="89"/>
      <c r="M564" s="58"/>
      <c r="N564" s="44"/>
      <c r="O564" s="44"/>
      <c r="P564" s="65"/>
    </row>
    <row r="565" spans="9:16" x14ac:dyDescent="0.3">
      <c r="I565" s="89"/>
      <c r="J565" s="15"/>
      <c r="K565" s="29"/>
      <c r="L565" s="89"/>
      <c r="M565" s="58"/>
      <c r="N565" s="44"/>
      <c r="O565" s="44"/>
      <c r="P565" s="65"/>
    </row>
    <row r="566" spans="9:16" x14ac:dyDescent="0.3">
      <c r="I566" s="89"/>
      <c r="J566" s="15"/>
      <c r="K566" s="29"/>
      <c r="L566" s="89"/>
      <c r="M566" s="58"/>
      <c r="N566" s="44"/>
      <c r="O566" s="44"/>
      <c r="P566" s="65"/>
    </row>
    <row r="567" spans="9:16" x14ac:dyDescent="0.3">
      <c r="I567" s="89"/>
      <c r="J567" s="15"/>
      <c r="K567" s="29"/>
      <c r="L567" s="89"/>
      <c r="M567" s="58"/>
      <c r="N567" s="44"/>
      <c r="O567" s="44"/>
      <c r="P567" s="65"/>
    </row>
    <row r="568" spans="9:16" x14ac:dyDescent="0.3">
      <c r="I568" s="89"/>
      <c r="J568" s="15"/>
      <c r="K568" s="29"/>
      <c r="L568" s="89"/>
      <c r="M568" s="58"/>
      <c r="N568" s="44"/>
      <c r="O568" s="44"/>
      <c r="P568" s="65"/>
    </row>
    <row r="569" spans="9:16" x14ac:dyDescent="0.3">
      <c r="I569" s="89"/>
      <c r="J569" s="15"/>
      <c r="K569" s="29"/>
      <c r="L569" s="89"/>
      <c r="M569" s="58"/>
      <c r="N569" s="44"/>
      <c r="O569" s="44"/>
      <c r="P569" s="65"/>
    </row>
    <row r="570" spans="9:16" x14ac:dyDescent="0.3">
      <c r="I570" s="89"/>
      <c r="J570" s="15"/>
      <c r="K570" s="29"/>
      <c r="L570" s="89"/>
      <c r="M570" s="58"/>
      <c r="N570" s="44"/>
      <c r="O570" s="44"/>
      <c r="P570" s="65"/>
    </row>
    <row r="571" spans="9:16" x14ac:dyDescent="0.3">
      <c r="I571" s="89"/>
      <c r="J571" s="15"/>
      <c r="K571" s="29"/>
      <c r="L571" s="89"/>
      <c r="M571" s="58"/>
      <c r="N571" s="44"/>
      <c r="O571" s="44"/>
      <c r="P571" s="65"/>
    </row>
    <row r="572" spans="9:16" x14ac:dyDescent="0.3">
      <c r="I572" s="89"/>
      <c r="J572" s="15"/>
      <c r="K572" s="29"/>
      <c r="L572" s="89"/>
      <c r="M572" s="58"/>
      <c r="N572" s="44"/>
      <c r="O572" s="44"/>
      <c r="P572" s="65"/>
    </row>
    <row r="573" spans="9:16" x14ac:dyDescent="0.3">
      <c r="I573" s="89"/>
      <c r="J573" s="15"/>
      <c r="K573" s="29"/>
      <c r="L573" s="89"/>
      <c r="M573" s="58"/>
      <c r="N573" s="44"/>
      <c r="O573" s="44"/>
      <c r="P573" s="65"/>
    </row>
    <row r="574" spans="9:16" x14ac:dyDescent="0.3">
      <c r="I574" s="89"/>
      <c r="J574" s="15"/>
      <c r="K574" s="29"/>
      <c r="L574" s="89"/>
      <c r="M574" s="58"/>
      <c r="N574" s="44"/>
      <c r="O574" s="44"/>
      <c r="P574" s="65"/>
    </row>
    <row r="575" spans="9:16" x14ac:dyDescent="0.3">
      <c r="I575" s="89"/>
      <c r="J575" s="15"/>
      <c r="K575" s="29"/>
      <c r="L575" s="89"/>
      <c r="M575" s="58"/>
      <c r="N575" s="44"/>
      <c r="O575" s="44"/>
      <c r="P575" s="65"/>
    </row>
    <row r="576" spans="9:16" x14ac:dyDescent="0.3">
      <c r="I576" s="89"/>
      <c r="J576" s="15"/>
      <c r="K576" s="29"/>
      <c r="L576" s="89"/>
      <c r="M576" s="58"/>
      <c r="N576" s="44"/>
      <c r="O576" s="44"/>
      <c r="P576" s="65"/>
    </row>
    <row r="577" spans="9:39" x14ac:dyDescent="0.3">
      <c r="I577" s="89"/>
      <c r="J577" s="15"/>
      <c r="K577" s="29"/>
      <c r="L577" s="89"/>
      <c r="M577" s="58"/>
      <c r="N577" s="44"/>
      <c r="O577" s="44"/>
      <c r="P577" s="65"/>
    </row>
    <row r="578" spans="9:39" x14ac:dyDescent="0.3">
      <c r="I578" s="89"/>
      <c r="J578" s="15"/>
      <c r="K578" s="29"/>
      <c r="L578" s="89"/>
      <c r="M578" s="58"/>
      <c r="N578" s="44"/>
      <c r="O578" s="44"/>
      <c r="P578" s="65"/>
    </row>
    <row r="579" spans="9:39" x14ac:dyDescent="0.3">
      <c r="I579" s="89"/>
      <c r="J579" s="15"/>
      <c r="K579" s="29"/>
      <c r="L579" s="89"/>
      <c r="M579" s="58"/>
      <c r="N579" s="44"/>
      <c r="O579" s="44"/>
      <c r="P579" s="65"/>
    </row>
    <row r="580" spans="9:39" x14ac:dyDescent="0.3">
      <c r="I580" s="89"/>
      <c r="J580" s="15"/>
      <c r="K580" s="29"/>
      <c r="L580" s="89"/>
      <c r="M580" s="58"/>
      <c r="N580" s="44"/>
      <c r="O580" s="44"/>
      <c r="P580" s="65"/>
    </row>
    <row r="581" spans="9:39" x14ac:dyDescent="0.3">
      <c r="I581" s="89"/>
      <c r="J581" s="15"/>
      <c r="K581" s="29"/>
      <c r="L581" s="89"/>
      <c r="M581" s="58"/>
      <c r="N581" s="44"/>
      <c r="O581" s="44"/>
      <c r="P581" s="65"/>
    </row>
    <row r="582" spans="9:39" x14ac:dyDescent="0.3">
      <c r="I582" s="89"/>
      <c r="J582" s="15"/>
      <c r="K582" s="29"/>
      <c r="L582" s="89"/>
      <c r="M582" s="58"/>
      <c r="N582" s="44"/>
      <c r="O582" s="44"/>
      <c r="P582" s="65"/>
    </row>
    <row r="583" spans="9:39" x14ac:dyDescent="0.3">
      <c r="AL583" s="93"/>
      <c r="AM583" s="93"/>
    </row>
    <row r="584" spans="9:39" x14ac:dyDescent="0.3">
      <c r="AL584" s="96"/>
    </row>
  </sheetData>
  <mergeCells count="1">
    <mergeCell ref="I14:I16"/>
  </mergeCells>
  <phoneticPr fontId="4" type="noConversion"/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F1EC4A-DF8B-4397-9766-0A05B53B9E3E}">
  <dimension ref="B1:AO584"/>
  <sheetViews>
    <sheetView tabSelected="1" topLeftCell="A3" zoomScale="85" zoomScaleNormal="85" workbookViewId="0">
      <pane xSplit="10" ySplit="22" topLeftCell="K25" activePane="bottomRight" state="frozen"/>
      <selection activeCell="A3" sqref="A3"/>
      <selection pane="topRight" activeCell="K3" sqref="K3"/>
      <selection pane="bottomLeft" activeCell="A25" sqref="A25"/>
      <selection pane="bottomRight" activeCell="G13" sqref="G13"/>
    </sheetView>
  </sheetViews>
  <sheetFormatPr baseColWidth="10" defaultColWidth="11.5546875" defaultRowHeight="14.4" x14ac:dyDescent="0.3"/>
  <cols>
    <col min="1" max="1" width="11.5546875" style="87"/>
    <col min="2" max="2" width="17.109375" style="86" bestFit="1" customWidth="1"/>
    <col min="3" max="3" width="22.6640625" style="86" customWidth="1"/>
    <col min="4" max="4" width="15.109375" style="86" bestFit="1" customWidth="1"/>
    <col min="5" max="5" width="19.88671875" style="87" bestFit="1" customWidth="1"/>
    <col min="6" max="6" width="11.5546875" style="86"/>
    <col min="7" max="8" width="11.5546875" style="87"/>
    <col min="9" max="9" width="16.88671875" style="87" bestFit="1" customWidth="1"/>
    <col min="10" max="10" width="12.6640625" style="87" bestFit="1" customWidth="1"/>
    <col min="11" max="11" width="25.5546875" style="87" customWidth="1"/>
    <col min="12" max="12" width="17.5546875" style="87" customWidth="1"/>
    <col min="13" max="13" width="12.5546875" style="87" bestFit="1" customWidth="1"/>
    <col min="14" max="14" width="11.5546875" style="86"/>
    <col min="15" max="16" width="17" style="86" customWidth="1"/>
    <col min="17" max="20" width="0" style="87" hidden="1" customWidth="1"/>
    <col min="21" max="21" width="17" style="86" hidden="1" customWidth="1"/>
    <col min="22" max="26" width="0" style="87" hidden="1" customWidth="1"/>
    <col min="27" max="28" width="0" style="86" hidden="1" customWidth="1"/>
    <col min="29" max="29" width="0" style="87" hidden="1" customWidth="1"/>
    <col min="30" max="30" width="17" style="86" hidden="1" customWidth="1"/>
    <col min="31" max="33" width="0" style="87" hidden="1" customWidth="1"/>
    <col min="34" max="34" width="17" style="86" hidden="1" customWidth="1"/>
    <col min="35" max="36" width="0" style="87" hidden="1" customWidth="1"/>
    <col min="37" max="37" width="0" style="88" hidden="1" customWidth="1"/>
    <col min="38" max="38" width="11.5546875" style="93"/>
    <col min="39" max="16384" width="11.5546875" style="87"/>
  </cols>
  <sheetData>
    <row r="1" spans="2:38" s="3" customFormat="1" x14ac:dyDescent="0.3">
      <c r="B1" s="1"/>
      <c r="C1" s="1"/>
      <c r="D1" s="1"/>
      <c r="F1" s="1"/>
      <c r="N1" s="1"/>
      <c r="O1" s="1"/>
      <c r="P1" s="1"/>
      <c r="U1" s="1"/>
      <c r="AA1" s="1"/>
      <c r="AB1" s="1"/>
      <c r="AD1" s="1"/>
      <c r="AH1" s="1"/>
      <c r="AK1" s="21"/>
      <c r="AL1" s="4"/>
    </row>
    <row r="2" spans="2:38" s="3" customFormat="1" x14ac:dyDescent="0.3">
      <c r="B2" s="1"/>
      <c r="C2" s="1"/>
      <c r="D2" s="1"/>
      <c r="F2" s="1"/>
      <c r="N2" s="1"/>
      <c r="O2" s="1"/>
      <c r="P2" s="1"/>
      <c r="U2" s="1"/>
      <c r="AA2" s="1"/>
      <c r="AB2" s="1"/>
      <c r="AD2" s="1"/>
      <c r="AH2" s="1"/>
      <c r="AK2" s="21"/>
      <c r="AL2" s="4"/>
    </row>
    <row r="3" spans="2:38" s="3" customFormat="1" ht="15" thickBot="1" x14ac:dyDescent="0.35">
      <c r="B3" s="1" t="s">
        <v>0</v>
      </c>
      <c r="C3" s="1" t="s">
        <v>1</v>
      </c>
      <c r="D3" s="2">
        <f>+K4</f>
        <v>0.1118</v>
      </c>
      <c r="E3" s="3" t="s">
        <v>2</v>
      </c>
      <c r="F3" s="1"/>
      <c r="H3" s="1">
        <v>1</v>
      </c>
      <c r="I3" s="3" t="s">
        <v>3</v>
      </c>
      <c r="J3" s="4" t="s">
        <v>4</v>
      </c>
      <c r="K3" s="5">
        <v>2.5999999999999999E-3</v>
      </c>
      <c r="L3" s="3" t="s">
        <v>5</v>
      </c>
      <c r="N3" s="1"/>
      <c r="O3" s="1"/>
      <c r="P3" s="1"/>
      <c r="U3" s="1"/>
      <c r="AA3" s="1"/>
      <c r="AB3" s="1"/>
      <c r="AD3" s="1"/>
      <c r="AH3" s="1"/>
      <c r="AK3" s="21"/>
      <c r="AL3" s="4"/>
    </row>
    <row r="4" spans="2:38" s="3" customFormat="1" ht="15" thickBot="1" x14ac:dyDescent="0.35">
      <c r="B4" s="1" t="s">
        <v>6</v>
      </c>
      <c r="C4" s="1" t="s">
        <v>7</v>
      </c>
      <c r="D4" s="6">
        <f>L118-L24</f>
        <v>41</v>
      </c>
      <c r="E4" s="3" t="s">
        <v>8</v>
      </c>
      <c r="F4" s="1"/>
      <c r="H4" s="75">
        <v>43</v>
      </c>
      <c r="I4" s="3" t="s">
        <v>9</v>
      </c>
      <c r="K4" s="1">
        <f>+H4*K3</f>
        <v>0.1118</v>
      </c>
      <c r="L4" s="3" t="s">
        <v>10</v>
      </c>
      <c r="N4" s="1"/>
      <c r="O4" s="1"/>
      <c r="P4" s="1"/>
      <c r="U4" s="1"/>
      <c r="AA4" s="1"/>
      <c r="AB4" s="1"/>
      <c r="AD4" s="1"/>
      <c r="AH4" s="1"/>
      <c r="AK4" s="21"/>
      <c r="AL4" s="4"/>
    </row>
    <row r="5" spans="2:38" s="3" customFormat="1" x14ac:dyDescent="0.3">
      <c r="B5" s="1" t="s">
        <v>11</v>
      </c>
      <c r="C5" s="1" t="s">
        <v>12</v>
      </c>
      <c r="D5" s="6">
        <f>+F17*10</f>
        <v>343.65774924016193</v>
      </c>
      <c r="E5" s="3" t="s">
        <v>8</v>
      </c>
      <c r="F5" s="1"/>
      <c r="K5" s="1">
        <f>+K4*60*60*24</f>
        <v>9659.52</v>
      </c>
      <c r="L5" s="3" t="s">
        <v>13</v>
      </c>
      <c r="M5" s="7">
        <f>+K5/24</f>
        <v>402.48</v>
      </c>
      <c r="N5" s="1" t="s">
        <v>14</v>
      </c>
      <c r="O5" s="1"/>
      <c r="P5" s="1"/>
      <c r="U5" s="1"/>
      <c r="AA5" s="1"/>
      <c r="AB5" s="1"/>
      <c r="AD5" s="1"/>
      <c r="AH5" s="1"/>
      <c r="AK5" s="21"/>
      <c r="AL5" s="4"/>
    </row>
    <row r="6" spans="2:38" s="3" customFormat="1" x14ac:dyDescent="0.3">
      <c r="B6" s="1" t="s">
        <v>15</v>
      </c>
      <c r="C6" s="1" t="s">
        <v>16</v>
      </c>
      <c r="D6" s="8">
        <v>9.81</v>
      </c>
      <c r="E6" s="3" t="s">
        <v>17</v>
      </c>
      <c r="F6" s="1"/>
      <c r="K6" s="1">
        <f>+K5/0.156</f>
        <v>61920</v>
      </c>
      <c r="L6" s="1" t="s">
        <v>18</v>
      </c>
      <c r="M6" s="1">
        <f>+K6/24</f>
        <v>2580</v>
      </c>
      <c r="N6" s="1" t="s">
        <v>19</v>
      </c>
      <c r="O6" s="1">
        <f>+M6/60</f>
        <v>43</v>
      </c>
      <c r="P6" s="1"/>
      <c r="Q6" s="1" t="s">
        <v>20</v>
      </c>
      <c r="R6" s="1"/>
      <c r="S6" s="1"/>
      <c r="U6" s="1"/>
      <c r="V6" s="1"/>
      <c r="W6" s="1"/>
      <c r="X6" s="1"/>
      <c r="Y6" s="1"/>
      <c r="Z6" s="1"/>
      <c r="AA6" s="1"/>
      <c r="AB6" s="1"/>
      <c r="AD6" s="1"/>
      <c r="AH6" s="1"/>
      <c r="AK6" s="21"/>
      <c r="AL6" s="4"/>
    </row>
    <row r="7" spans="2:38" s="3" customFormat="1" ht="15" thickBot="1" x14ac:dyDescent="0.35">
      <c r="B7" s="1" t="s">
        <v>21</v>
      </c>
      <c r="C7" s="1" t="s">
        <v>22</v>
      </c>
      <c r="D7" s="9">
        <v>1000</v>
      </c>
      <c r="E7" s="3" t="s">
        <v>23</v>
      </c>
      <c r="F7" s="1"/>
      <c r="G7" s="10">
        <v>0.746</v>
      </c>
      <c r="K7" s="1">
        <f>+K5/24</f>
        <v>402.48</v>
      </c>
      <c r="L7" s="3" t="s">
        <v>14</v>
      </c>
      <c r="N7" s="1"/>
      <c r="O7" s="1"/>
      <c r="P7" s="1"/>
      <c r="U7" s="1"/>
      <c r="AA7" s="1"/>
      <c r="AB7" s="1"/>
      <c r="AD7" s="1"/>
      <c r="AH7" s="1"/>
      <c r="AK7" s="21"/>
      <c r="AL7" s="4"/>
    </row>
    <row r="8" spans="2:38" s="3" customFormat="1" ht="16.2" thickBot="1" x14ac:dyDescent="0.35">
      <c r="B8" s="1" t="s">
        <v>24</v>
      </c>
      <c r="C8" s="1" t="s">
        <v>25</v>
      </c>
      <c r="D8" s="11">
        <f>+(D3*(D4+D5)*D6*D7)/745.7</f>
        <v>565.74555952949106</v>
      </c>
      <c r="E8" s="12" t="s">
        <v>26</v>
      </c>
      <c r="F8" s="13">
        <f>+D8*0.746</f>
        <v>422.04618740900031</v>
      </c>
      <c r="G8" s="14" t="s">
        <v>27</v>
      </c>
      <c r="H8" s="3">
        <v>0.83199999999999996</v>
      </c>
      <c r="N8" s="1"/>
      <c r="O8" s="1"/>
      <c r="P8" s="1"/>
      <c r="U8" s="1"/>
      <c r="AA8" s="1"/>
      <c r="AB8" s="1"/>
      <c r="AD8" s="1"/>
      <c r="AH8" s="1"/>
      <c r="AK8" s="21"/>
      <c r="AL8" s="4"/>
    </row>
    <row r="9" spans="2:38" s="3" customFormat="1" x14ac:dyDescent="0.3">
      <c r="B9" s="1"/>
      <c r="C9" s="1"/>
      <c r="D9" s="1"/>
      <c r="F9" s="1"/>
      <c r="N9" s="1"/>
      <c r="O9" s="1"/>
      <c r="P9" s="1"/>
      <c r="U9" s="1"/>
      <c r="AA9" s="1"/>
      <c r="AB9" s="1"/>
      <c r="AD9" s="1"/>
      <c r="AH9" s="1"/>
      <c r="AK9" s="21"/>
      <c r="AL9" s="4"/>
    </row>
    <row r="10" spans="2:38" s="3" customFormat="1" x14ac:dyDescent="0.3">
      <c r="B10" s="1" t="s">
        <v>28</v>
      </c>
      <c r="C10" s="1" t="s">
        <v>29</v>
      </c>
      <c r="D10" s="1">
        <v>191</v>
      </c>
      <c r="E10" s="3" t="s">
        <v>30</v>
      </c>
      <c r="F10" s="1">
        <f>+(D10*D8)/1000</f>
        <v>108.05740187013279</v>
      </c>
      <c r="G10" s="3" t="s">
        <v>31</v>
      </c>
      <c r="N10" s="1"/>
      <c r="O10" s="1"/>
      <c r="P10" s="1"/>
      <c r="U10" s="1"/>
      <c r="AA10" s="1"/>
      <c r="AB10" s="1"/>
      <c r="AD10" s="1"/>
      <c r="AH10" s="1"/>
      <c r="AK10" s="21"/>
      <c r="AL10" s="4"/>
    </row>
    <row r="11" spans="2:38" s="3" customFormat="1" x14ac:dyDescent="0.3">
      <c r="B11" s="1"/>
      <c r="C11" s="1"/>
      <c r="D11" s="1"/>
      <c r="F11" s="9">
        <f>+F10/0.832</f>
        <v>129.87668494006346</v>
      </c>
      <c r="G11" s="3" t="s">
        <v>32</v>
      </c>
      <c r="J11" s="1"/>
      <c r="N11" s="1"/>
      <c r="O11" s="1"/>
      <c r="P11" s="1"/>
      <c r="U11" s="1"/>
      <c r="AA11" s="1"/>
      <c r="AB11" s="1"/>
      <c r="AD11" s="1"/>
      <c r="AH11" s="1"/>
      <c r="AK11" s="21"/>
      <c r="AL11" s="4"/>
    </row>
    <row r="12" spans="2:38" s="3" customFormat="1" ht="15" thickBot="1" x14ac:dyDescent="0.35">
      <c r="B12" s="1" t="s">
        <v>33</v>
      </c>
      <c r="C12" s="1"/>
      <c r="D12" s="1"/>
      <c r="F12" s="1"/>
      <c r="J12" s="15" t="s">
        <v>34</v>
      </c>
      <c r="K12" s="16"/>
      <c r="L12" s="16" t="s">
        <v>35</v>
      </c>
      <c r="M12" s="16" t="s">
        <v>36</v>
      </c>
      <c r="N12" s="15"/>
      <c r="O12" s="66"/>
      <c r="P12" s="66"/>
      <c r="U12" s="66"/>
      <c r="AA12" s="1"/>
      <c r="AB12" s="1"/>
      <c r="AD12" s="66"/>
      <c r="AH12" s="66"/>
      <c r="AK12" s="21"/>
      <c r="AL12" s="4"/>
    </row>
    <row r="13" spans="2:38" s="3" customFormat="1" ht="15" thickBot="1" x14ac:dyDescent="0.35">
      <c r="B13" s="1" t="s">
        <v>37</v>
      </c>
      <c r="C13" s="1"/>
      <c r="D13" s="41">
        <v>47.7</v>
      </c>
      <c r="E13" s="3" t="s">
        <v>38</v>
      </c>
      <c r="F13" s="1"/>
      <c r="J13" s="15" t="s">
        <v>20</v>
      </c>
      <c r="K13" s="16" t="s">
        <v>39</v>
      </c>
      <c r="L13" s="16" t="s">
        <v>40</v>
      </c>
      <c r="M13" s="16" t="s">
        <v>41</v>
      </c>
      <c r="N13" s="15" t="s">
        <v>42</v>
      </c>
      <c r="O13" s="66"/>
      <c r="P13" s="66"/>
      <c r="Q13" s="17"/>
      <c r="U13" s="66"/>
      <c r="AA13" s="1"/>
      <c r="AB13" s="1"/>
      <c r="AD13" s="66"/>
      <c r="AH13" s="66"/>
      <c r="AK13" s="21"/>
      <c r="AL13" s="4"/>
    </row>
    <row r="14" spans="2:38" s="3" customFormat="1" x14ac:dyDescent="0.3">
      <c r="B14" s="1" t="s">
        <v>43</v>
      </c>
      <c r="C14" s="1"/>
      <c r="D14" s="1">
        <f>+D13/1.60934</f>
        <v>29.639479538195783</v>
      </c>
      <c r="F14" s="1"/>
      <c r="I14" s="114" t="s">
        <v>44</v>
      </c>
      <c r="J14" s="58">
        <f>+H4</f>
        <v>43</v>
      </c>
      <c r="K14" s="15">
        <f>+J14*0.156*60*24</f>
        <v>9659.52</v>
      </c>
      <c r="L14" s="15">
        <f>+D8</f>
        <v>565.74555952949106</v>
      </c>
      <c r="M14" s="45">
        <f>+F11</f>
        <v>129.87668494006346</v>
      </c>
      <c r="N14" s="45"/>
      <c r="O14" s="67"/>
      <c r="P14" s="67"/>
      <c r="U14" s="67"/>
      <c r="AA14" s="1"/>
      <c r="AB14" s="1"/>
      <c r="AD14" s="67"/>
      <c r="AH14" s="67"/>
      <c r="AK14" s="21"/>
      <c r="AL14" s="4"/>
    </row>
    <row r="15" spans="2:38" s="3" customFormat="1" x14ac:dyDescent="0.3">
      <c r="B15" s="1"/>
      <c r="C15" s="1"/>
      <c r="D15" s="1">
        <f>+D14*5280</f>
        <v>156496.45196167374</v>
      </c>
      <c r="F15" s="1"/>
      <c r="I15" s="114"/>
      <c r="J15" s="44"/>
      <c r="K15" s="91"/>
      <c r="L15" s="91"/>
      <c r="M15" s="92"/>
      <c r="N15" s="92"/>
      <c r="O15" s="67"/>
      <c r="P15" s="67"/>
      <c r="Q15" s="74"/>
      <c r="U15" s="67"/>
      <c r="AA15" s="1"/>
      <c r="AB15" s="1"/>
      <c r="AD15" s="67"/>
      <c r="AH15" s="67"/>
      <c r="AK15" s="21"/>
      <c r="AL15" s="4"/>
    </row>
    <row r="16" spans="2:38" s="3" customFormat="1" ht="15" thickBot="1" x14ac:dyDescent="0.35">
      <c r="B16" s="1"/>
      <c r="C16" s="1"/>
      <c r="D16" s="1">
        <f>+D15/100</f>
        <v>1564.9645196167373</v>
      </c>
      <c r="E16" s="3" t="s">
        <v>45</v>
      </c>
      <c r="F16" s="1"/>
      <c r="I16" s="114"/>
      <c r="J16" s="44"/>
      <c r="K16" s="91"/>
      <c r="L16" s="91"/>
      <c r="M16" s="92"/>
      <c r="N16" s="92"/>
      <c r="O16" s="67"/>
      <c r="P16" s="67"/>
      <c r="Q16" s="74"/>
      <c r="U16" s="67"/>
      <c r="AA16" s="1"/>
      <c r="AB16" s="1"/>
      <c r="AD16" s="67"/>
      <c r="AH16" s="67"/>
      <c r="AK16" s="21"/>
      <c r="AL16" s="4"/>
    </row>
    <row r="17" spans="2:41" s="3" customFormat="1" ht="15" thickBot="1" x14ac:dyDescent="0.35">
      <c r="B17" s="1"/>
      <c r="C17" s="1"/>
      <c r="D17" s="75">
        <f>+D16*D40</f>
        <v>508.61346887543965</v>
      </c>
      <c r="E17" s="3" t="s">
        <v>45</v>
      </c>
      <c r="F17" s="1">
        <f>+D17/14.8</f>
        <v>34.365774924016193</v>
      </c>
      <c r="G17" s="3" t="s">
        <v>46</v>
      </c>
      <c r="I17" s="22"/>
      <c r="J17" s="44"/>
      <c r="K17" s="91"/>
      <c r="L17" s="91"/>
      <c r="M17" s="91"/>
      <c r="N17" s="91"/>
      <c r="O17" s="67"/>
      <c r="P17" s="67"/>
      <c r="Q17" s="74"/>
      <c r="U17" s="67"/>
      <c r="AA17" s="1"/>
      <c r="AB17" s="1"/>
      <c r="AD17" s="67"/>
      <c r="AH17" s="67"/>
      <c r="AK17" s="21"/>
      <c r="AL17" s="4"/>
    </row>
    <row r="18" spans="2:41" s="3" customFormat="1" x14ac:dyDescent="0.3">
      <c r="B18" s="1"/>
      <c r="C18" s="1"/>
      <c r="D18" s="1"/>
      <c r="F18" s="1"/>
      <c r="I18" s="22"/>
      <c r="J18" s="44"/>
      <c r="K18" s="91"/>
      <c r="L18" s="91"/>
      <c r="M18" s="92"/>
      <c r="N18" s="91"/>
      <c r="O18" s="67"/>
      <c r="P18" s="67"/>
      <c r="Q18" s="74"/>
      <c r="U18" s="67"/>
      <c r="AA18" s="1"/>
      <c r="AB18" s="1"/>
      <c r="AD18" s="67"/>
      <c r="AH18" s="67"/>
      <c r="AK18" s="21"/>
      <c r="AL18" s="4"/>
    </row>
    <row r="19" spans="2:41" s="3" customFormat="1" x14ac:dyDescent="0.3">
      <c r="B19" s="1"/>
      <c r="C19" s="1"/>
      <c r="D19" s="1"/>
      <c r="F19" s="1"/>
      <c r="I19" s="1"/>
      <c r="J19" s="1"/>
      <c r="K19" s="1"/>
      <c r="L19" s="1"/>
      <c r="N19" s="1"/>
      <c r="O19" s="1"/>
      <c r="P19" s="1"/>
      <c r="U19" s="1"/>
      <c r="AA19" s="1"/>
      <c r="AB19" s="1"/>
      <c r="AD19" s="1"/>
      <c r="AH19" s="1"/>
      <c r="AK19" s="21"/>
      <c r="AL19" s="4"/>
    </row>
    <row r="20" spans="2:41" s="3" customFormat="1" x14ac:dyDescent="0.3">
      <c r="B20" s="1" t="s">
        <v>47</v>
      </c>
      <c r="C20" s="1" t="s">
        <v>47</v>
      </c>
      <c r="D20" s="48" t="s">
        <v>42</v>
      </c>
      <c r="E20" s="48" t="s">
        <v>42</v>
      </c>
      <c r="F20" s="1"/>
      <c r="I20" s="1"/>
      <c r="J20" s="1"/>
      <c r="K20" s="1"/>
      <c r="L20" s="1"/>
      <c r="N20" s="1"/>
      <c r="O20" s="1"/>
      <c r="P20" s="1"/>
      <c r="U20" s="1"/>
      <c r="AA20" s="1"/>
      <c r="AB20" s="1"/>
      <c r="AD20" s="1"/>
      <c r="AH20" s="1"/>
      <c r="AK20" s="21"/>
      <c r="AL20" s="4"/>
    </row>
    <row r="21" spans="2:41" s="3" customFormat="1" ht="15" thickBot="1" x14ac:dyDescent="0.35">
      <c r="B21" s="1" t="s">
        <v>48</v>
      </c>
      <c r="C21" s="1" t="s">
        <v>39</v>
      </c>
      <c r="D21" s="49" t="s">
        <v>49</v>
      </c>
      <c r="E21" s="50" t="s">
        <v>50</v>
      </c>
      <c r="F21" s="1"/>
      <c r="I21" s="1"/>
      <c r="J21" s="1"/>
      <c r="M21" s="1"/>
      <c r="N21" s="1"/>
      <c r="O21" s="1"/>
      <c r="P21" s="1"/>
      <c r="T21" s="1">
        <f>+Q22*0.156*60</f>
        <v>748.80000000000007</v>
      </c>
      <c r="U21" s="1"/>
      <c r="AA21" s="17" t="s">
        <v>14</v>
      </c>
      <c r="AB21" s="1"/>
      <c r="AC21" s="1">
        <f>+AA22*0.156*60</f>
        <v>655.20000000000005</v>
      </c>
      <c r="AD21" s="1"/>
      <c r="AG21" s="1">
        <f>+AE22*0.156*60</f>
        <v>561.59999999999991</v>
      </c>
      <c r="AH21" s="1"/>
      <c r="AI21" s="1"/>
      <c r="AK21" s="21"/>
      <c r="AL21" s="4"/>
    </row>
    <row r="22" spans="2:41" s="3" customFormat="1" ht="15" thickBot="1" x14ac:dyDescent="0.35">
      <c r="B22" s="1">
        <v>12</v>
      </c>
      <c r="C22" s="1">
        <f t="shared" ref="C22:C45" si="0">+B22*0.156*60*24</f>
        <v>2695.68</v>
      </c>
      <c r="D22" s="5">
        <v>2.5999999999999999E-2</v>
      </c>
      <c r="E22" s="10">
        <v>6.9000000000000006E-2</v>
      </c>
      <c r="F22" s="1"/>
      <c r="I22" s="35" t="s">
        <v>49</v>
      </c>
      <c r="J22" s="34"/>
      <c r="K22" s="77">
        <f>+H4</f>
        <v>43</v>
      </c>
      <c r="L22" s="32" t="s">
        <v>48</v>
      </c>
      <c r="M22" s="32">
        <f>+K7</f>
        <v>402.48</v>
      </c>
      <c r="N22" s="32" t="s">
        <v>51</v>
      </c>
      <c r="O22" s="76">
        <f>+D43</f>
        <v>0.42</v>
      </c>
      <c r="P22" s="33"/>
      <c r="Q22" s="78">
        <v>80</v>
      </c>
      <c r="R22" s="32" t="s">
        <v>48</v>
      </c>
      <c r="S22" s="84"/>
      <c r="T22" s="80">
        <f>+D47</f>
        <v>1.11425</v>
      </c>
      <c r="U22" s="33"/>
      <c r="V22" s="84"/>
      <c r="W22" s="84">
        <v>40</v>
      </c>
      <c r="X22" s="84"/>
      <c r="Y22" s="84" t="s">
        <v>48</v>
      </c>
      <c r="Z22" s="84"/>
      <c r="AA22" s="31">
        <v>70</v>
      </c>
      <c r="AB22" s="32" t="s">
        <v>48</v>
      </c>
      <c r="AC22" s="33">
        <f>+D45</f>
        <v>0.88700000000000001</v>
      </c>
      <c r="AD22" s="33"/>
      <c r="AE22" s="31">
        <v>60</v>
      </c>
      <c r="AF22" s="32" t="s">
        <v>48</v>
      </c>
      <c r="AG22" s="33">
        <f>+D44</f>
        <v>0.628</v>
      </c>
      <c r="AH22" s="33"/>
      <c r="AI22" s="70"/>
      <c r="AK22" s="21"/>
      <c r="AL22" s="4"/>
    </row>
    <row r="23" spans="2:41" s="26" customFormat="1" ht="59.25" customHeight="1" thickBot="1" x14ac:dyDescent="0.35">
      <c r="B23" s="23">
        <v>13</v>
      </c>
      <c r="C23" s="23">
        <f t="shared" si="0"/>
        <v>2920.32</v>
      </c>
      <c r="D23" s="24">
        <v>0.03</v>
      </c>
      <c r="E23" s="25">
        <v>8.2000000000000003E-2</v>
      </c>
      <c r="F23" s="23">
        <v>48</v>
      </c>
      <c r="G23" s="23">
        <v>6.29</v>
      </c>
      <c r="H23" s="23"/>
      <c r="I23" s="38" t="s">
        <v>53</v>
      </c>
      <c r="J23" s="39" t="s">
        <v>43</v>
      </c>
      <c r="K23" s="55" t="s">
        <v>54</v>
      </c>
      <c r="L23" s="57" t="s">
        <v>52</v>
      </c>
      <c r="M23" s="56" t="s">
        <v>69</v>
      </c>
      <c r="N23" s="39" t="s">
        <v>56</v>
      </c>
      <c r="O23" s="39" t="s">
        <v>57</v>
      </c>
      <c r="P23" s="40" t="s">
        <v>58</v>
      </c>
      <c r="Q23" s="79" t="s">
        <v>59</v>
      </c>
      <c r="R23" s="39" t="s">
        <v>60</v>
      </c>
      <c r="S23" s="55"/>
      <c r="T23" s="40" t="s">
        <v>57</v>
      </c>
      <c r="U23" s="40" t="s">
        <v>58</v>
      </c>
      <c r="V23" s="55"/>
      <c r="W23" s="79" t="s">
        <v>59</v>
      </c>
      <c r="X23" s="39" t="s">
        <v>56</v>
      </c>
      <c r="Y23" s="55"/>
      <c r="Z23" s="55"/>
      <c r="AA23" s="47" t="s">
        <v>59</v>
      </c>
      <c r="AB23" s="39" t="s">
        <v>60</v>
      </c>
      <c r="AC23" s="40" t="s">
        <v>57</v>
      </c>
      <c r="AD23" s="40" t="s">
        <v>58</v>
      </c>
      <c r="AE23" s="47" t="s">
        <v>59</v>
      </c>
      <c r="AF23" s="39" t="s">
        <v>60</v>
      </c>
      <c r="AG23" s="40" t="s">
        <v>57</v>
      </c>
      <c r="AH23" s="40" t="s">
        <v>58</v>
      </c>
      <c r="AI23" s="71"/>
      <c r="AK23" s="43"/>
      <c r="AL23" s="4"/>
      <c r="AM23" s="4"/>
    </row>
    <row r="24" spans="2:41" s="3" customFormat="1" x14ac:dyDescent="0.3">
      <c r="B24" s="1">
        <v>14</v>
      </c>
      <c r="C24" s="1">
        <f t="shared" si="0"/>
        <v>3144.9600000000005</v>
      </c>
      <c r="D24" s="5">
        <v>3.9E-2</v>
      </c>
      <c r="E24" s="10">
        <v>0.09</v>
      </c>
      <c r="F24" s="1">
        <v>60</v>
      </c>
      <c r="G24" s="1">
        <v>8</v>
      </c>
      <c r="H24" s="1"/>
      <c r="I24" s="90">
        <f>+AL24*1000</f>
        <v>0</v>
      </c>
      <c r="J24" s="37"/>
      <c r="K24" s="29">
        <f>+($I24/1609.34)*5280/(100)*$D$40</f>
        <v>0</v>
      </c>
      <c r="L24" s="97">
        <v>545</v>
      </c>
      <c r="M24" s="29"/>
      <c r="N24" s="29">
        <v>0</v>
      </c>
      <c r="O24" s="29">
        <f>+N24+K24</f>
        <v>0</v>
      </c>
      <c r="P24" s="36"/>
      <c r="Q24" s="51">
        <f>+($I24/1609.34)*5280/(100)*$H$45</f>
        <v>0</v>
      </c>
      <c r="R24" s="52"/>
      <c r="S24" s="85"/>
      <c r="T24" s="53"/>
      <c r="U24" s="36"/>
      <c r="V24" s="85"/>
      <c r="W24" s="85"/>
      <c r="X24" s="85"/>
      <c r="Y24" s="85"/>
      <c r="Z24" s="85"/>
      <c r="AA24" s="51">
        <f t="shared" ref="AA24:AA42" si="1">+($I24/1609.34)*5280/(100)*$D$45</f>
        <v>0</v>
      </c>
      <c r="AB24" s="52"/>
      <c r="AC24" s="53"/>
      <c r="AD24" s="36"/>
      <c r="AE24" s="51">
        <f t="shared" ref="AE24:AE42" si="2">+($I24/1609.34)*5280/(100)*$D$44</f>
        <v>0</v>
      </c>
      <c r="AF24" s="52"/>
      <c r="AG24" s="53"/>
      <c r="AH24" s="36"/>
      <c r="AI24" s="62"/>
      <c r="AK24" s="21"/>
      <c r="AL24" s="97">
        <v>0</v>
      </c>
      <c r="AM24" s="87"/>
    </row>
    <row r="25" spans="2:41" s="3" customFormat="1" x14ac:dyDescent="0.3">
      <c r="B25" s="1">
        <v>15</v>
      </c>
      <c r="C25" s="1">
        <f t="shared" si="0"/>
        <v>3369.5999999999995</v>
      </c>
      <c r="D25" s="5">
        <v>4.8000000000000001E-2</v>
      </c>
      <c r="E25" s="10">
        <v>0.112</v>
      </c>
      <c r="F25" s="1">
        <v>70</v>
      </c>
      <c r="G25" s="1">
        <v>10</v>
      </c>
      <c r="H25" s="1"/>
      <c r="I25" s="90">
        <v>500</v>
      </c>
      <c r="J25" s="15">
        <f t="shared" ref="J25:J88" si="3">+I25/1609.34</f>
        <v>0.31068636832490337</v>
      </c>
      <c r="K25" s="29">
        <f>+($I25/1609.34)*5280/(100)*$D$40</f>
        <v>5.3313780804553428</v>
      </c>
      <c r="L25" s="98">
        <v>535</v>
      </c>
      <c r="M25" s="58">
        <f>-(L24-L25)/10</f>
        <v>-1</v>
      </c>
      <c r="N25" s="58">
        <v>0</v>
      </c>
      <c r="O25" s="58">
        <f t="shared" ref="O25:O88" si="4">+K25+N25*14.8</f>
        <v>5.3313780804553428</v>
      </c>
      <c r="P25" s="54">
        <f t="shared" ref="P25:P88" si="5">+O25/14.5</f>
        <v>0.36768124692795467</v>
      </c>
      <c r="Q25" s="68">
        <f t="shared" ref="Q25:Q42" si="6">+($I25/1609.34)*5280/(100)*$D$47</f>
        <v>18.278424695838044</v>
      </c>
      <c r="R25" s="65">
        <f t="shared" ref="R25:R88" si="7">+N25</f>
        <v>0</v>
      </c>
      <c r="S25" s="65">
        <f t="shared" ref="S25:S85" si="8">+T25</f>
        <v>18.278424695838044</v>
      </c>
      <c r="T25" s="65">
        <f t="shared" ref="T25:T88" si="9">+Q25+R25*14.8</f>
        <v>18.278424695838044</v>
      </c>
      <c r="U25" s="60">
        <f t="shared" ref="U25:U89" si="10">+T25/14.5</f>
        <v>1.260581013506072</v>
      </c>
      <c r="V25" s="65"/>
      <c r="W25" s="65"/>
      <c r="X25" s="65"/>
      <c r="Y25" s="65"/>
      <c r="Z25" s="65"/>
      <c r="AA25" s="68">
        <f t="shared" si="1"/>
        <v>14.550561099581195</v>
      </c>
      <c r="AB25" s="65">
        <f t="shared" ref="AB25:AB88" si="11">+N25</f>
        <v>0</v>
      </c>
      <c r="AC25" s="65">
        <f t="shared" ref="AC25:AC88" si="12">+AA25+AB25*14.8</f>
        <v>14.550561099581195</v>
      </c>
      <c r="AD25" s="60">
        <f t="shared" ref="AD25:AD88" si="13">+AC25/14.5</f>
        <v>1.00348697238491</v>
      </c>
      <c r="AE25" s="68">
        <f t="shared" si="2"/>
        <v>10.301862875464476</v>
      </c>
      <c r="AF25" s="73">
        <f t="shared" ref="AF25:AF88" si="14">+N25</f>
        <v>0</v>
      </c>
      <c r="AG25" s="65">
        <f t="shared" ref="AG25:AG88" si="15">+AE25+AF25*14.8</f>
        <v>10.301862875464476</v>
      </c>
      <c r="AH25" s="60">
        <f t="shared" ref="AH25:AH89" si="16">+AG25/14.5</f>
        <v>0.71047330175617074</v>
      </c>
      <c r="AI25" s="62"/>
      <c r="AK25" s="21"/>
      <c r="AL25" s="98">
        <v>3.9972800000000003E-2</v>
      </c>
      <c r="AM25" s="94"/>
      <c r="AN25" s="87"/>
      <c r="AO25" s="87"/>
    </row>
    <row r="26" spans="2:41" s="3" customFormat="1" x14ac:dyDescent="0.3">
      <c r="B26" s="1">
        <v>17</v>
      </c>
      <c r="C26" s="1">
        <f t="shared" si="0"/>
        <v>3818.88</v>
      </c>
      <c r="D26" s="5">
        <v>5.6000000000000001E-2</v>
      </c>
      <c r="E26" s="10">
        <v>0.129</v>
      </c>
      <c r="F26" s="1"/>
      <c r="I26" s="90">
        <v>1000</v>
      </c>
      <c r="J26" s="15">
        <f t="shared" si="3"/>
        <v>0.62137273664980675</v>
      </c>
      <c r="K26" s="29">
        <f>+($I26/1609.34)*5280/(100)*$D$40</f>
        <v>10.662756160910686</v>
      </c>
      <c r="L26" s="97">
        <v>518</v>
      </c>
      <c r="M26" s="58">
        <f t="shared" ref="M25:M88" si="17">-(L25-L26)/10</f>
        <v>-1.7</v>
      </c>
      <c r="N26" s="58">
        <f>+N25+M26</f>
        <v>-1.7</v>
      </c>
      <c r="O26" s="58">
        <f t="shared" si="4"/>
        <v>-14.497243839089315</v>
      </c>
      <c r="P26" s="54">
        <f t="shared" si="5"/>
        <v>-0.99980991993719415</v>
      </c>
      <c r="Q26" s="68">
        <f t="shared" si="6"/>
        <v>36.556849391676089</v>
      </c>
      <c r="R26" s="65">
        <f t="shared" si="7"/>
        <v>-1.7</v>
      </c>
      <c r="S26" s="65">
        <f t="shared" si="8"/>
        <v>11.396849391676088</v>
      </c>
      <c r="T26" s="65">
        <f t="shared" si="9"/>
        <v>11.396849391676088</v>
      </c>
      <c r="U26" s="60">
        <f t="shared" si="10"/>
        <v>0.78598961321904059</v>
      </c>
      <c r="V26" s="65"/>
      <c r="W26" s="65"/>
      <c r="X26" s="65"/>
      <c r="Y26" s="65"/>
      <c r="Z26" s="65"/>
      <c r="AA26" s="68">
        <f t="shared" si="1"/>
        <v>29.10112219916239</v>
      </c>
      <c r="AB26" s="65">
        <f t="shared" si="11"/>
        <v>-1.7</v>
      </c>
      <c r="AC26" s="65">
        <f t="shared" si="12"/>
        <v>3.9411221991623897</v>
      </c>
      <c r="AD26" s="60">
        <f t="shared" si="13"/>
        <v>0.27180153097671655</v>
      </c>
      <c r="AE26" s="68">
        <f t="shared" si="2"/>
        <v>20.603725750928952</v>
      </c>
      <c r="AF26" s="73">
        <f t="shared" si="14"/>
        <v>-1.7</v>
      </c>
      <c r="AG26" s="65">
        <f t="shared" si="15"/>
        <v>-4.5562742490710484</v>
      </c>
      <c r="AH26" s="60">
        <f t="shared" si="16"/>
        <v>-0.31422581028076196</v>
      </c>
      <c r="AI26" s="62"/>
      <c r="AK26" s="21"/>
      <c r="AL26" s="97">
        <v>5.3677200000000001E-2</v>
      </c>
      <c r="AM26" s="87"/>
    </row>
    <row r="27" spans="2:41" s="3" customFormat="1" x14ac:dyDescent="0.3">
      <c r="B27" s="1">
        <v>18</v>
      </c>
      <c r="C27" s="1">
        <f t="shared" si="0"/>
        <v>4043.5199999999995</v>
      </c>
      <c r="D27" s="5">
        <v>6.5000000000000002E-2</v>
      </c>
      <c r="E27" s="10">
        <v>0.151</v>
      </c>
      <c r="F27" s="1"/>
      <c r="I27" s="90">
        <v>1500</v>
      </c>
      <c r="J27" s="15">
        <f t="shared" si="3"/>
        <v>0.93205910497471023</v>
      </c>
      <c r="K27" s="29">
        <f t="shared" ref="K27:K88" si="18">+($I27/1609.34)*5280/(100)*$D$40</f>
        <v>15.994134241366027</v>
      </c>
      <c r="L27" s="98">
        <v>508</v>
      </c>
      <c r="M27" s="58">
        <f t="shared" si="17"/>
        <v>-1</v>
      </c>
      <c r="N27" s="58">
        <f t="shared" ref="N26:N89" si="19">+N26+M27</f>
        <v>-2.7</v>
      </c>
      <c r="O27" s="58">
        <f t="shared" si="4"/>
        <v>-23.965865758633981</v>
      </c>
      <c r="P27" s="54">
        <f t="shared" si="5"/>
        <v>-1.652818328181654</v>
      </c>
      <c r="Q27" s="68">
        <f t="shared" si="6"/>
        <v>54.835274087514129</v>
      </c>
      <c r="R27" s="65">
        <f t="shared" si="7"/>
        <v>-2.7</v>
      </c>
      <c r="S27" s="65">
        <f t="shared" si="8"/>
        <v>14.875274087514121</v>
      </c>
      <c r="T27" s="65">
        <f t="shared" si="9"/>
        <v>14.875274087514121</v>
      </c>
      <c r="U27" s="60">
        <f t="shared" si="10"/>
        <v>1.025880971552698</v>
      </c>
      <c r="V27" s="65"/>
      <c r="W27" s="65"/>
      <c r="X27" s="65"/>
      <c r="Y27" s="65"/>
      <c r="Z27" s="65"/>
      <c r="AA27" s="68">
        <f t="shared" si="1"/>
        <v>43.651683298743585</v>
      </c>
      <c r="AB27" s="65">
        <f t="shared" si="11"/>
        <v>-2.7</v>
      </c>
      <c r="AC27" s="65">
        <f t="shared" si="12"/>
        <v>3.6916832987435768</v>
      </c>
      <c r="AD27" s="60">
        <f t="shared" si="13"/>
        <v>0.25459884818921219</v>
      </c>
      <c r="AE27" s="68">
        <f t="shared" si="2"/>
        <v>30.905588626393428</v>
      </c>
      <c r="AF27" s="73">
        <f t="shared" si="14"/>
        <v>-2.7</v>
      </c>
      <c r="AG27" s="65">
        <f t="shared" si="15"/>
        <v>-9.0544113736065803</v>
      </c>
      <c r="AH27" s="60">
        <f t="shared" si="16"/>
        <v>-0.62444216369700556</v>
      </c>
      <c r="AI27" s="62"/>
      <c r="AK27" s="21"/>
      <c r="AL27" s="98">
        <v>0.19834969999999999</v>
      </c>
      <c r="AM27" s="87"/>
    </row>
    <row r="28" spans="2:41" s="3" customFormat="1" x14ac:dyDescent="0.3">
      <c r="B28" s="1">
        <v>19</v>
      </c>
      <c r="C28" s="1">
        <f t="shared" si="0"/>
        <v>4268.16</v>
      </c>
      <c r="D28" s="5">
        <v>7.3999999999999996E-2</v>
      </c>
      <c r="E28" s="10">
        <v>0.16800000000000001</v>
      </c>
      <c r="F28" s="1"/>
      <c r="I28" s="90">
        <v>2000</v>
      </c>
      <c r="J28" s="15">
        <f t="shared" si="3"/>
        <v>1.2427454732996135</v>
      </c>
      <c r="K28" s="29">
        <f t="shared" si="18"/>
        <v>21.325512321821371</v>
      </c>
      <c r="L28" s="97">
        <v>505</v>
      </c>
      <c r="M28" s="58">
        <f t="shared" si="17"/>
        <v>-0.3</v>
      </c>
      <c r="N28" s="44">
        <f t="shared" si="19"/>
        <v>-3</v>
      </c>
      <c r="O28" s="58">
        <f t="shared" si="4"/>
        <v>-23.074487678178635</v>
      </c>
      <c r="P28" s="54">
        <f t="shared" si="5"/>
        <v>-1.591343977805423</v>
      </c>
      <c r="Q28" s="68">
        <f t="shared" si="6"/>
        <v>73.113698783352177</v>
      </c>
      <c r="R28" s="65">
        <f t="shared" si="7"/>
        <v>-3</v>
      </c>
      <c r="S28" s="65">
        <f t="shared" si="8"/>
        <v>28.713698783352172</v>
      </c>
      <c r="T28" s="65">
        <f t="shared" si="9"/>
        <v>28.713698783352172</v>
      </c>
      <c r="U28" s="60">
        <f t="shared" si="10"/>
        <v>1.9802550885070462</v>
      </c>
      <c r="V28" s="65"/>
      <c r="W28" s="65"/>
      <c r="X28" s="65"/>
      <c r="Y28" s="65"/>
      <c r="Z28" s="65"/>
      <c r="AA28" s="68">
        <f t="shared" si="1"/>
        <v>58.20224439832478</v>
      </c>
      <c r="AB28" s="65">
        <f t="shared" si="11"/>
        <v>-3</v>
      </c>
      <c r="AC28" s="65">
        <f t="shared" si="12"/>
        <v>13.802244398324774</v>
      </c>
      <c r="AD28" s="60">
        <f t="shared" si="13"/>
        <v>0.95187892402239815</v>
      </c>
      <c r="AE28" s="68">
        <f t="shared" si="2"/>
        <v>41.207451501857904</v>
      </c>
      <c r="AF28" s="73">
        <f t="shared" si="14"/>
        <v>-3</v>
      </c>
      <c r="AG28" s="65">
        <f t="shared" si="15"/>
        <v>-3.1925484981421022</v>
      </c>
      <c r="AH28" s="60">
        <f t="shared" si="16"/>
        <v>-0.22017575849255877</v>
      </c>
      <c r="AI28" s="62"/>
      <c r="AK28" s="21"/>
      <c r="AL28" s="97">
        <v>0.63973749999999996</v>
      </c>
      <c r="AM28" s="87"/>
    </row>
    <row r="29" spans="2:41" s="3" customFormat="1" x14ac:dyDescent="0.3">
      <c r="B29" s="1">
        <v>20</v>
      </c>
      <c r="C29" s="1">
        <f t="shared" si="0"/>
        <v>4492.8</v>
      </c>
      <c r="D29" s="5">
        <v>8.2000000000000003E-2</v>
      </c>
      <c r="E29" s="10">
        <v>0.19</v>
      </c>
      <c r="F29" s="1"/>
      <c r="I29" s="90">
        <v>2500</v>
      </c>
      <c r="J29" s="15">
        <f t="shared" si="3"/>
        <v>1.553431841624517</v>
      </c>
      <c r="K29" s="29">
        <f t="shared" si="18"/>
        <v>26.656890402276712</v>
      </c>
      <c r="L29" s="98">
        <v>504</v>
      </c>
      <c r="M29" s="58">
        <f t="shared" si="17"/>
        <v>-0.1</v>
      </c>
      <c r="N29" s="44">
        <f t="shared" si="19"/>
        <v>-3.1</v>
      </c>
      <c r="O29" s="58">
        <f t="shared" si="4"/>
        <v>-19.22310959772329</v>
      </c>
      <c r="P29" s="54">
        <f t="shared" si="5"/>
        <v>-1.3257316963947097</v>
      </c>
      <c r="Q29" s="68">
        <f t="shared" si="6"/>
        <v>91.392123479190218</v>
      </c>
      <c r="R29" s="65">
        <f t="shared" si="7"/>
        <v>-3.1</v>
      </c>
      <c r="S29" s="65">
        <f t="shared" si="8"/>
        <v>45.512123479190215</v>
      </c>
      <c r="T29" s="65">
        <f t="shared" si="9"/>
        <v>45.512123479190215</v>
      </c>
      <c r="U29" s="60">
        <f t="shared" si="10"/>
        <v>3.1387671364958769</v>
      </c>
      <c r="V29" s="65"/>
      <c r="W29" s="65"/>
      <c r="X29" s="65"/>
      <c r="Y29" s="65"/>
      <c r="Z29" s="65"/>
      <c r="AA29" s="68">
        <f t="shared" si="1"/>
        <v>72.752805497905968</v>
      </c>
      <c r="AB29" s="65">
        <f t="shared" si="11"/>
        <v>-3.1</v>
      </c>
      <c r="AC29" s="65">
        <f t="shared" si="12"/>
        <v>26.872805497905965</v>
      </c>
      <c r="AD29" s="60">
        <f t="shared" si="13"/>
        <v>1.8532969308900666</v>
      </c>
      <c r="AE29" s="68">
        <f t="shared" si="2"/>
        <v>51.509314377322383</v>
      </c>
      <c r="AF29" s="73">
        <f t="shared" si="14"/>
        <v>-3.1</v>
      </c>
      <c r="AG29" s="65">
        <f t="shared" si="15"/>
        <v>5.6293143773223804</v>
      </c>
      <c r="AH29" s="60">
        <f t="shared" si="16"/>
        <v>0.38822857774637104</v>
      </c>
      <c r="AI29" s="62"/>
      <c r="AK29" s="21"/>
      <c r="AL29" s="98">
        <v>0.78087930000000005</v>
      </c>
      <c r="AM29" s="87"/>
    </row>
    <row r="30" spans="2:41" s="3" customFormat="1" x14ac:dyDescent="0.3">
      <c r="B30" s="1">
        <v>21</v>
      </c>
      <c r="C30" s="1">
        <f t="shared" si="0"/>
        <v>4717.4400000000005</v>
      </c>
      <c r="D30" s="5">
        <v>9.0999999999999998E-2</v>
      </c>
      <c r="E30" s="10">
        <v>0.21199999999999999</v>
      </c>
      <c r="F30" s="1"/>
      <c r="I30" s="90">
        <v>3000</v>
      </c>
      <c r="J30" s="15">
        <f t="shared" si="3"/>
        <v>1.8641182099494205</v>
      </c>
      <c r="K30" s="29">
        <f t="shared" si="18"/>
        <v>31.988268482732053</v>
      </c>
      <c r="L30" s="97">
        <v>503</v>
      </c>
      <c r="M30" s="58">
        <f t="shared" si="17"/>
        <v>-0.1</v>
      </c>
      <c r="N30" s="44">
        <f t="shared" si="19"/>
        <v>-3.2</v>
      </c>
      <c r="O30" s="44">
        <f t="shared" si="4"/>
        <v>-15.371731517267953</v>
      </c>
      <c r="P30" s="54">
        <f t="shared" si="5"/>
        <v>-1.0601194149839968</v>
      </c>
      <c r="Q30" s="68">
        <f t="shared" si="6"/>
        <v>109.67054817502826</v>
      </c>
      <c r="R30" s="65">
        <f t="shared" si="7"/>
        <v>-3.2</v>
      </c>
      <c r="S30" s="65">
        <f t="shared" si="8"/>
        <v>62.310548175028252</v>
      </c>
      <c r="T30" s="65">
        <f t="shared" si="9"/>
        <v>62.310548175028252</v>
      </c>
      <c r="U30" s="60">
        <f t="shared" si="10"/>
        <v>4.2972791844847071</v>
      </c>
      <c r="V30" s="65"/>
      <c r="W30" s="65"/>
      <c r="X30" s="65"/>
      <c r="Y30" s="65"/>
      <c r="Z30" s="65"/>
      <c r="AA30" s="68">
        <f t="shared" si="1"/>
        <v>87.30336659748717</v>
      </c>
      <c r="AB30" s="65">
        <f t="shared" si="11"/>
        <v>-3.2</v>
      </c>
      <c r="AC30" s="65">
        <f t="shared" si="12"/>
        <v>39.943366597487163</v>
      </c>
      <c r="AD30" s="60">
        <f t="shared" si="13"/>
        <v>2.7547149377577353</v>
      </c>
      <c r="AE30" s="68">
        <f t="shared" si="2"/>
        <v>61.811177252786855</v>
      </c>
      <c r="AF30" s="73">
        <f t="shared" si="14"/>
        <v>-3.2</v>
      </c>
      <c r="AG30" s="65">
        <f t="shared" si="15"/>
        <v>14.451177252786849</v>
      </c>
      <c r="AH30" s="60">
        <f t="shared" si="16"/>
        <v>0.99663291398529996</v>
      </c>
      <c r="AI30" s="62"/>
      <c r="AJ30" s="3" t="s">
        <v>62</v>
      </c>
      <c r="AK30" s="21">
        <v>2930</v>
      </c>
      <c r="AL30" s="97">
        <v>0.79966459999999995</v>
      </c>
      <c r="AM30" s="87"/>
    </row>
    <row r="31" spans="2:41" s="3" customFormat="1" x14ac:dyDescent="0.3">
      <c r="B31" s="1">
        <v>23</v>
      </c>
      <c r="C31" s="1">
        <f t="shared" si="0"/>
        <v>5166.72</v>
      </c>
      <c r="D31" s="5">
        <v>0.1</v>
      </c>
      <c r="E31" s="10">
        <v>0.23300000000000001</v>
      </c>
      <c r="F31" s="1"/>
      <c r="I31" s="90">
        <v>3500</v>
      </c>
      <c r="J31" s="29">
        <f t="shared" si="3"/>
        <v>2.1748045782743239</v>
      </c>
      <c r="K31" s="29">
        <f t="shared" si="18"/>
        <v>37.319646563187405</v>
      </c>
      <c r="L31" s="98">
        <v>502</v>
      </c>
      <c r="M31" s="58">
        <f t="shared" si="17"/>
        <v>-0.1</v>
      </c>
      <c r="N31" s="44">
        <f t="shared" si="19"/>
        <v>-3.3000000000000003</v>
      </c>
      <c r="O31" s="44">
        <f t="shared" si="4"/>
        <v>-11.520353436812599</v>
      </c>
      <c r="P31" s="61">
        <f t="shared" si="5"/>
        <v>-0.79450713357328262</v>
      </c>
      <c r="Q31" s="68">
        <f t="shared" si="6"/>
        <v>127.94897287086634</v>
      </c>
      <c r="R31" s="65">
        <f t="shared" si="7"/>
        <v>-3.3000000000000003</v>
      </c>
      <c r="S31" s="65">
        <f t="shared" si="8"/>
        <v>79.108972870866339</v>
      </c>
      <c r="T31" s="65">
        <f t="shared" si="9"/>
        <v>79.108972870866339</v>
      </c>
      <c r="U31" s="60">
        <f t="shared" si="10"/>
        <v>5.4557912324735405</v>
      </c>
      <c r="V31" s="65"/>
      <c r="W31" s="65"/>
      <c r="X31" s="65"/>
      <c r="Y31" s="65"/>
      <c r="Z31" s="65"/>
      <c r="AA31" s="68">
        <f t="shared" si="1"/>
        <v>101.85392769706839</v>
      </c>
      <c r="AB31" s="65">
        <f t="shared" si="11"/>
        <v>-3.3000000000000003</v>
      </c>
      <c r="AC31" s="65">
        <f t="shared" si="12"/>
        <v>53.013927697068382</v>
      </c>
      <c r="AD31" s="60">
        <f t="shared" si="13"/>
        <v>3.6561329446254058</v>
      </c>
      <c r="AE31" s="68">
        <f t="shared" si="2"/>
        <v>72.113040128251342</v>
      </c>
      <c r="AF31" s="73">
        <f t="shared" si="14"/>
        <v>-3.3000000000000003</v>
      </c>
      <c r="AG31" s="65">
        <f t="shared" si="15"/>
        <v>23.273040128251338</v>
      </c>
      <c r="AH31" s="60">
        <f t="shared" si="16"/>
        <v>1.6050372502242303</v>
      </c>
      <c r="AI31" s="62"/>
      <c r="AK31" s="21"/>
      <c r="AL31" s="98">
        <v>0.80740990000000001</v>
      </c>
      <c r="AM31" s="87"/>
    </row>
    <row r="32" spans="2:41" s="3" customFormat="1" x14ac:dyDescent="0.3">
      <c r="B32" s="1">
        <v>24</v>
      </c>
      <c r="C32" s="1">
        <f t="shared" si="0"/>
        <v>5391.36</v>
      </c>
      <c r="D32" s="5">
        <v>0.113</v>
      </c>
      <c r="E32" s="10">
        <v>0.26</v>
      </c>
      <c r="F32" s="1"/>
      <c r="I32" s="90">
        <v>4000</v>
      </c>
      <c r="J32" s="15">
        <f t="shared" si="3"/>
        <v>2.485490946599227</v>
      </c>
      <c r="K32" s="29">
        <f t="shared" si="18"/>
        <v>42.651024643642742</v>
      </c>
      <c r="L32" s="97">
        <v>502</v>
      </c>
      <c r="M32" s="58">
        <f t="shared" si="17"/>
        <v>0</v>
      </c>
      <c r="N32" s="44">
        <f t="shared" si="19"/>
        <v>-3.3000000000000003</v>
      </c>
      <c r="O32" s="44">
        <f t="shared" si="4"/>
        <v>-6.1889753563572611</v>
      </c>
      <c r="P32" s="61">
        <f t="shared" si="5"/>
        <v>-0.42682588664532833</v>
      </c>
      <c r="Q32" s="68">
        <f t="shared" si="6"/>
        <v>146.22739756670435</v>
      </c>
      <c r="R32" s="65">
        <f t="shared" si="7"/>
        <v>-3.3000000000000003</v>
      </c>
      <c r="S32" s="65">
        <f t="shared" si="8"/>
        <v>97.387397566704351</v>
      </c>
      <c r="T32" s="65">
        <f t="shared" si="9"/>
        <v>97.387397566704351</v>
      </c>
      <c r="U32" s="60">
        <f t="shared" si="10"/>
        <v>6.7163722459796107</v>
      </c>
      <c r="V32" s="65"/>
      <c r="W32" s="65"/>
      <c r="X32" s="65"/>
      <c r="Y32" s="65"/>
      <c r="Z32" s="65"/>
      <c r="AA32" s="68">
        <f t="shared" si="1"/>
        <v>116.40448879664956</v>
      </c>
      <c r="AB32" s="65">
        <f t="shared" si="11"/>
        <v>-3.3000000000000003</v>
      </c>
      <c r="AC32" s="65">
        <f t="shared" si="12"/>
        <v>67.564488796649556</v>
      </c>
      <c r="AD32" s="60">
        <f t="shared" si="13"/>
        <v>4.6596199170103141</v>
      </c>
      <c r="AE32" s="68">
        <f t="shared" si="2"/>
        <v>82.414903003715807</v>
      </c>
      <c r="AF32" s="73">
        <f t="shared" si="14"/>
        <v>-3.3000000000000003</v>
      </c>
      <c r="AG32" s="65">
        <f t="shared" si="15"/>
        <v>33.574903003715804</v>
      </c>
      <c r="AH32" s="60">
        <f t="shared" si="16"/>
        <v>2.3155105519804002</v>
      </c>
      <c r="AI32" s="72"/>
      <c r="AK32" s="21"/>
      <c r="AL32" s="97">
        <v>0.81695569999999995</v>
      </c>
      <c r="AM32" s="87"/>
    </row>
    <row r="33" spans="2:39" s="3" customFormat="1" x14ac:dyDescent="0.3">
      <c r="B33" s="1">
        <v>26</v>
      </c>
      <c r="C33" s="1">
        <f t="shared" si="0"/>
        <v>5840.64</v>
      </c>
      <c r="D33" s="5">
        <v>0.13</v>
      </c>
      <c r="E33" s="10">
        <v>0.311</v>
      </c>
      <c r="F33" s="1"/>
      <c r="I33" s="90">
        <v>4500</v>
      </c>
      <c r="J33" s="27">
        <f t="shared" si="3"/>
        <v>2.7961773149241305</v>
      </c>
      <c r="K33" s="29">
        <f t="shared" si="18"/>
        <v>47.98240272409808</v>
      </c>
      <c r="L33" s="98">
        <v>501</v>
      </c>
      <c r="M33" s="58">
        <f t="shared" si="17"/>
        <v>-0.1</v>
      </c>
      <c r="N33" s="44">
        <f t="shared" si="19"/>
        <v>-3.4000000000000004</v>
      </c>
      <c r="O33" s="44">
        <f t="shared" si="4"/>
        <v>-2.3375972759019277</v>
      </c>
      <c r="P33" s="61">
        <f t="shared" si="5"/>
        <v>-0.1612136052346157</v>
      </c>
      <c r="Q33" s="68">
        <f t="shared" si="6"/>
        <v>164.50582226254241</v>
      </c>
      <c r="R33" s="65">
        <f t="shared" si="7"/>
        <v>-3.4000000000000004</v>
      </c>
      <c r="S33" s="65">
        <f t="shared" si="8"/>
        <v>114.1858222625424</v>
      </c>
      <c r="T33" s="65">
        <f t="shared" si="9"/>
        <v>114.1858222625424</v>
      </c>
      <c r="U33" s="60">
        <f t="shared" si="10"/>
        <v>7.8748842939684414</v>
      </c>
      <c r="V33" s="65"/>
      <c r="W33" s="65"/>
      <c r="X33" s="65"/>
      <c r="Y33" s="65"/>
      <c r="Z33" s="65"/>
      <c r="AA33" s="68">
        <f t="shared" si="1"/>
        <v>130.95504989623075</v>
      </c>
      <c r="AB33" s="65">
        <f t="shared" si="11"/>
        <v>-3.4000000000000004</v>
      </c>
      <c r="AC33" s="65">
        <f t="shared" si="12"/>
        <v>80.63504989623074</v>
      </c>
      <c r="AD33" s="60">
        <f t="shared" si="13"/>
        <v>5.5610379238779819</v>
      </c>
      <c r="AE33" s="68">
        <f t="shared" si="2"/>
        <v>92.716765879180286</v>
      </c>
      <c r="AF33" s="73">
        <f t="shared" si="14"/>
        <v>-3.4000000000000004</v>
      </c>
      <c r="AG33" s="65">
        <f t="shared" si="15"/>
        <v>42.396765879180279</v>
      </c>
      <c r="AH33" s="60">
        <f t="shared" si="16"/>
        <v>2.9239148882193295</v>
      </c>
      <c r="AI33" s="62"/>
      <c r="AK33" s="21"/>
      <c r="AL33" s="98">
        <v>0.82857170000000002</v>
      </c>
      <c r="AM33" s="87"/>
    </row>
    <row r="34" spans="2:39" s="3" customFormat="1" x14ac:dyDescent="0.3">
      <c r="B34" s="1">
        <v>29</v>
      </c>
      <c r="C34" s="1">
        <f t="shared" si="0"/>
        <v>6514.5599999999995</v>
      </c>
      <c r="D34" s="5">
        <v>0.152</v>
      </c>
      <c r="E34" s="10">
        <v>0.36699999999999999</v>
      </c>
      <c r="F34" s="1"/>
      <c r="I34" s="90">
        <v>5000</v>
      </c>
      <c r="J34" s="15">
        <f t="shared" si="3"/>
        <v>3.1068636832490339</v>
      </c>
      <c r="K34" s="29">
        <f t="shared" si="18"/>
        <v>53.313780804553424</v>
      </c>
      <c r="L34" s="97">
        <v>501</v>
      </c>
      <c r="M34" s="58">
        <f t="shared" si="17"/>
        <v>0</v>
      </c>
      <c r="N34" s="44">
        <f t="shared" si="19"/>
        <v>-3.4000000000000004</v>
      </c>
      <c r="O34" s="44">
        <f t="shared" si="4"/>
        <v>2.9937808045534169</v>
      </c>
      <c r="P34" s="61">
        <f t="shared" si="5"/>
        <v>0.20646764169333909</v>
      </c>
      <c r="Q34" s="68">
        <f t="shared" si="6"/>
        <v>182.78424695838044</v>
      </c>
      <c r="R34" s="65">
        <f t="shared" si="7"/>
        <v>-3.4000000000000004</v>
      </c>
      <c r="S34" s="65">
        <f t="shared" si="8"/>
        <v>132.46424695838044</v>
      </c>
      <c r="T34" s="65">
        <f t="shared" si="9"/>
        <v>132.46424695838044</v>
      </c>
      <c r="U34" s="60">
        <f t="shared" si="10"/>
        <v>9.1354653074745134</v>
      </c>
      <c r="V34" s="65"/>
      <c r="W34" s="65"/>
      <c r="X34" s="65"/>
      <c r="Y34" s="65"/>
      <c r="Z34" s="65"/>
      <c r="AA34" s="68">
        <f t="shared" si="1"/>
        <v>145.50561099581194</v>
      </c>
      <c r="AB34" s="65">
        <f t="shared" si="11"/>
        <v>-3.4000000000000004</v>
      </c>
      <c r="AC34" s="65">
        <f t="shared" si="12"/>
        <v>95.185610995811928</v>
      </c>
      <c r="AD34" s="60">
        <f t="shared" si="13"/>
        <v>6.5645248962628919</v>
      </c>
      <c r="AE34" s="68">
        <f t="shared" si="2"/>
        <v>103.01862875464477</v>
      </c>
      <c r="AF34" s="73">
        <f t="shared" si="14"/>
        <v>-3.4000000000000004</v>
      </c>
      <c r="AG34" s="65">
        <f t="shared" si="15"/>
        <v>52.698628754644758</v>
      </c>
      <c r="AH34" s="60">
        <f t="shared" si="16"/>
        <v>3.6343881899755006</v>
      </c>
      <c r="AI34" s="62"/>
      <c r="AK34" s="21"/>
      <c r="AL34" s="97">
        <v>0.84054799999999996</v>
      </c>
      <c r="AM34" s="87"/>
    </row>
    <row r="35" spans="2:39" s="3" customFormat="1" x14ac:dyDescent="0.3">
      <c r="B35" s="1">
        <v>31</v>
      </c>
      <c r="C35" s="1">
        <f t="shared" si="0"/>
        <v>6963.84</v>
      </c>
      <c r="D35" s="5">
        <v>0.17299999999999999</v>
      </c>
      <c r="E35" s="10">
        <v>0.42899999999999999</v>
      </c>
      <c r="F35" s="1"/>
      <c r="I35" s="90">
        <v>5500</v>
      </c>
      <c r="J35" s="15">
        <f t="shared" si="3"/>
        <v>3.4175500515739374</v>
      </c>
      <c r="K35" s="29">
        <f t="shared" si="18"/>
        <v>58.645158885008769</v>
      </c>
      <c r="L35" s="98">
        <v>500</v>
      </c>
      <c r="M35" s="58">
        <f t="shared" si="17"/>
        <v>-0.1</v>
      </c>
      <c r="N35" s="44">
        <f t="shared" si="19"/>
        <v>-3.5000000000000004</v>
      </c>
      <c r="O35" s="44">
        <f t="shared" si="4"/>
        <v>6.8451588850087575</v>
      </c>
      <c r="P35" s="61">
        <f t="shared" si="5"/>
        <v>0.47207992310405222</v>
      </c>
      <c r="Q35" s="68">
        <f t="shared" si="6"/>
        <v>201.06267165421852</v>
      </c>
      <c r="R35" s="65">
        <f t="shared" si="7"/>
        <v>-3.5000000000000004</v>
      </c>
      <c r="S35" s="65">
        <f t="shared" si="8"/>
        <v>149.26267165421851</v>
      </c>
      <c r="T35" s="65">
        <f t="shared" si="9"/>
        <v>149.26267165421851</v>
      </c>
      <c r="U35" s="60">
        <f t="shared" si="10"/>
        <v>10.293977355463346</v>
      </c>
      <c r="V35" s="65"/>
      <c r="W35" s="65"/>
      <c r="X35" s="65"/>
      <c r="Y35" s="65"/>
      <c r="Z35" s="65"/>
      <c r="AA35" s="69">
        <f t="shared" si="1"/>
        <v>160.05617209539318</v>
      </c>
      <c r="AB35" s="65">
        <f t="shared" si="11"/>
        <v>-3.5000000000000004</v>
      </c>
      <c r="AC35" s="65">
        <f t="shared" si="12"/>
        <v>108.25617209539317</v>
      </c>
      <c r="AD35" s="60">
        <f t="shared" si="13"/>
        <v>7.4659429031305633</v>
      </c>
      <c r="AE35" s="68">
        <f t="shared" si="2"/>
        <v>113.32049163010926</v>
      </c>
      <c r="AF35" s="73">
        <f t="shared" si="14"/>
        <v>-3.5000000000000004</v>
      </c>
      <c r="AG35" s="65">
        <f t="shared" si="15"/>
        <v>61.520491630109248</v>
      </c>
      <c r="AH35" s="60">
        <f t="shared" si="16"/>
        <v>4.2427925262144308</v>
      </c>
      <c r="AI35" s="62"/>
      <c r="AK35" s="21">
        <v>5770</v>
      </c>
      <c r="AL35" s="98">
        <v>0.8508713</v>
      </c>
      <c r="AM35" s="87"/>
    </row>
    <row r="36" spans="2:39" s="3" customFormat="1" x14ac:dyDescent="0.3">
      <c r="B36" s="1">
        <v>33</v>
      </c>
      <c r="C36" s="1">
        <f t="shared" si="0"/>
        <v>7413.12</v>
      </c>
      <c r="D36" s="5">
        <v>0.19900000000000001</v>
      </c>
      <c r="E36" s="10">
        <v>0.498</v>
      </c>
      <c r="F36" s="1"/>
      <c r="I36" s="90">
        <v>6000</v>
      </c>
      <c r="J36" s="15">
        <f t="shared" si="3"/>
        <v>3.7282364198988409</v>
      </c>
      <c r="K36" s="29">
        <f t="shared" si="18"/>
        <v>63.976536965464106</v>
      </c>
      <c r="L36" s="97">
        <v>462</v>
      </c>
      <c r="M36" s="58">
        <f t="shared" si="17"/>
        <v>-3.8</v>
      </c>
      <c r="N36" s="44">
        <f t="shared" si="19"/>
        <v>-7.3000000000000007</v>
      </c>
      <c r="O36" s="44">
        <f t="shared" si="4"/>
        <v>-44.063463034535914</v>
      </c>
      <c r="P36" s="61">
        <f t="shared" si="5"/>
        <v>-3.0388595196231667</v>
      </c>
      <c r="Q36" s="68">
        <f t="shared" si="6"/>
        <v>219.34109635005652</v>
      </c>
      <c r="R36" s="65">
        <f t="shared" si="7"/>
        <v>-7.3000000000000007</v>
      </c>
      <c r="S36" s="65">
        <f t="shared" si="8"/>
        <v>111.3010963500565</v>
      </c>
      <c r="T36" s="65">
        <f t="shared" si="9"/>
        <v>111.3010963500565</v>
      </c>
      <c r="U36" s="60">
        <f t="shared" si="10"/>
        <v>7.6759376793142415</v>
      </c>
      <c r="V36" s="65"/>
      <c r="W36" s="65"/>
      <c r="X36" s="65"/>
      <c r="Y36" s="65"/>
      <c r="Z36" s="65"/>
      <c r="AA36" s="68">
        <f t="shared" si="1"/>
        <v>174.60673319497434</v>
      </c>
      <c r="AB36" s="65">
        <f t="shared" si="11"/>
        <v>-7.3000000000000007</v>
      </c>
      <c r="AC36" s="65">
        <f t="shared" si="12"/>
        <v>66.566733194974319</v>
      </c>
      <c r="AD36" s="60">
        <f t="shared" si="13"/>
        <v>4.590809185860298</v>
      </c>
      <c r="AE36" s="68">
        <f t="shared" si="2"/>
        <v>123.62235450557371</v>
      </c>
      <c r="AF36" s="73">
        <f t="shared" si="14"/>
        <v>-7.3000000000000007</v>
      </c>
      <c r="AG36" s="65">
        <f t="shared" si="15"/>
        <v>15.58235450557369</v>
      </c>
      <c r="AH36" s="60">
        <f t="shared" si="16"/>
        <v>1.074645138315427</v>
      </c>
      <c r="AI36" s="62"/>
      <c r="AK36" s="21"/>
      <c r="AL36" s="97">
        <v>0.88472930000000005</v>
      </c>
      <c r="AM36" s="87"/>
    </row>
    <row r="37" spans="2:39" s="3" customFormat="1" x14ac:dyDescent="0.3">
      <c r="B37" s="19">
        <v>36</v>
      </c>
      <c r="C37" s="1">
        <f t="shared" si="0"/>
        <v>8087.0399999999991</v>
      </c>
      <c r="D37" s="5">
        <v>0.22900000000000001</v>
      </c>
      <c r="E37" s="28">
        <v>0.55800000000000005</v>
      </c>
      <c r="F37" s="1"/>
      <c r="I37" s="90">
        <v>6500</v>
      </c>
      <c r="J37" s="29">
        <f t="shared" si="3"/>
        <v>4.0389227882237444</v>
      </c>
      <c r="K37" s="29">
        <f t="shared" si="18"/>
        <v>69.307915045919458</v>
      </c>
      <c r="L37" s="98">
        <v>423</v>
      </c>
      <c r="M37" s="58">
        <f t="shared" si="17"/>
        <v>-3.9</v>
      </c>
      <c r="N37" s="44">
        <f t="shared" si="19"/>
        <v>-11.200000000000001</v>
      </c>
      <c r="O37" s="44">
        <f t="shared" si="4"/>
        <v>-96.452084954080561</v>
      </c>
      <c r="P37" s="61">
        <f t="shared" si="5"/>
        <v>-6.6518679278676247</v>
      </c>
      <c r="Q37" s="68">
        <f t="shared" si="6"/>
        <v>237.6195210458946</v>
      </c>
      <c r="R37" s="65">
        <f t="shared" si="7"/>
        <v>-11.200000000000001</v>
      </c>
      <c r="S37" s="65">
        <f t="shared" si="8"/>
        <v>71.859521045894581</v>
      </c>
      <c r="T37" s="65">
        <f t="shared" si="9"/>
        <v>71.859521045894581</v>
      </c>
      <c r="U37" s="60">
        <f t="shared" si="10"/>
        <v>4.9558290376479022</v>
      </c>
      <c r="V37" s="65"/>
      <c r="W37" s="65"/>
      <c r="X37" s="65"/>
      <c r="Y37" s="65"/>
      <c r="Z37" s="65"/>
      <c r="AA37" s="68">
        <f t="shared" si="1"/>
        <v>189.15729429455556</v>
      </c>
      <c r="AB37" s="65">
        <f t="shared" si="11"/>
        <v>-11.200000000000001</v>
      </c>
      <c r="AC37" s="65">
        <f t="shared" si="12"/>
        <v>23.397294294555536</v>
      </c>
      <c r="AD37" s="60">
        <f t="shared" si="13"/>
        <v>1.6136065030727955</v>
      </c>
      <c r="AE37" s="68">
        <f t="shared" si="2"/>
        <v>133.9242173810382</v>
      </c>
      <c r="AF37" s="73">
        <f t="shared" si="14"/>
        <v>-11.200000000000001</v>
      </c>
      <c r="AG37" s="65">
        <f t="shared" si="15"/>
        <v>-31.835782618961815</v>
      </c>
      <c r="AH37" s="60">
        <f t="shared" si="16"/>
        <v>-2.1955712151008147</v>
      </c>
      <c r="AI37" s="62"/>
      <c r="AK37" s="21"/>
      <c r="AL37" s="98">
        <v>0.91875649999999998</v>
      </c>
      <c r="AM37" s="87"/>
    </row>
    <row r="38" spans="2:39" s="3" customFormat="1" x14ac:dyDescent="0.3">
      <c r="B38" s="1">
        <v>38</v>
      </c>
      <c r="C38" s="1">
        <f t="shared" si="0"/>
        <v>8536.32</v>
      </c>
      <c r="D38" s="5">
        <v>0.26</v>
      </c>
      <c r="E38" s="10">
        <v>0.63600000000000001</v>
      </c>
      <c r="F38" s="1"/>
      <c r="I38" s="90">
        <v>7000</v>
      </c>
      <c r="J38" s="29">
        <f t="shared" si="3"/>
        <v>4.3496091565486479</v>
      </c>
      <c r="K38" s="29">
        <f t="shared" si="18"/>
        <v>74.63929312637481</v>
      </c>
      <c r="L38" s="97">
        <v>392</v>
      </c>
      <c r="M38" s="58">
        <f t="shared" si="17"/>
        <v>-3.1</v>
      </c>
      <c r="N38" s="44">
        <f t="shared" si="19"/>
        <v>-14.3</v>
      </c>
      <c r="O38" s="44">
        <f t="shared" si="4"/>
        <v>-137.00070687362521</v>
      </c>
      <c r="P38" s="61">
        <f t="shared" si="5"/>
        <v>-9.4483246119741526</v>
      </c>
      <c r="Q38" s="68">
        <f t="shared" si="6"/>
        <v>255.89794574173268</v>
      </c>
      <c r="R38" s="65">
        <f t="shared" si="7"/>
        <v>-14.3</v>
      </c>
      <c r="S38" s="65">
        <f t="shared" si="8"/>
        <v>44.257945741732669</v>
      </c>
      <c r="T38" s="65">
        <f t="shared" si="9"/>
        <v>44.257945741732669</v>
      </c>
      <c r="U38" s="60">
        <f t="shared" si="10"/>
        <v>3.0522721201194942</v>
      </c>
      <c r="V38" s="65"/>
      <c r="W38" s="65"/>
      <c r="X38" s="65"/>
      <c r="Y38" s="65"/>
      <c r="Z38" s="65"/>
      <c r="AA38" s="68">
        <f t="shared" si="1"/>
        <v>203.70785539413677</v>
      </c>
      <c r="AB38" s="65">
        <f t="shared" si="11"/>
        <v>-14.3</v>
      </c>
      <c r="AC38" s="65">
        <f t="shared" si="12"/>
        <v>-7.9321446058632432</v>
      </c>
      <c r="AD38" s="60">
        <f t="shared" si="13"/>
        <v>-0.54704445557677539</v>
      </c>
      <c r="AE38" s="68">
        <f t="shared" si="2"/>
        <v>144.22608025650268</v>
      </c>
      <c r="AF38" s="73">
        <f t="shared" si="14"/>
        <v>-14.3</v>
      </c>
      <c r="AG38" s="65">
        <f t="shared" si="15"/>
        <v>-67.413919743497331</v>
      </c>
      <c r="AH38" s="60">
        <f t="shared" si="16"/>
        <v>-4.6492358443791266</v>
      </c>
      <c r="AI38" s="72"/>
      <c r="AK38" s="21"/>
      <c r="AL38" s="97">
        <v>0.97389740000000002</v>
      </c>
      <c r="AM38" s="87"/>
    </row>
    <row r="39" spans="2:39" s="3" customFormat="1" x14ac:dyDescent="0.3">
      <c r="B39" s="1">
        <v>40</v>
      </c>
      <c r="C39" s="1">
        <f t="shared" si="0"/>
        <v>8985.6</v>
      </c>
      <c r="D39" s="5">
        <v>0.377</v>
      </c>
      <c r="E39" s="10">
        <v>0.71799999999999997</v>
      </c>
      <c r="F39" s="1"/>
      <c r="I39" s="90">
        <v>7500</v>
      </c>
      <c r="J39" s="29">
        <f t="shared" si="3"/>
        <v>4.6602955248735505</v>
      </c>
      <c r="K39" s="29">
        <f t="shared" si="18"/>
        <v>79.970671206830133</v>
      </c>
      <c r="L39" s="98">
        <v>360</v>
      </c>
      <c r="M39" s="58">
        <f t="shared" si="17"/>
        <v>-3.2</v>
      </c>
      <c r="N39" s="44">
        <f t="shared" si="19"/>
        <v>-17.5</v>
      </c>
      <c r="O39" s="44">
        <f t="shared" si="4"/>
        <v>-179.02932879316987</v>
      </c>
      <c r="P39" s="61">
        <f t="shared" si="5"/>
        <v>-12.346850261597922</v>
      </c>
      <c r="Q39" s="68">
        <f t="shared" si="6"/>
        <v>274.17637043757065</v>
      </c>
      <c r="R39" s="65">
        <f t="shared" si="7"/>
        <v>-17.5</v>
      </c>
      <c r="S39" s="65">
        <f t="shared" si="8"/>
        <v>15.176370437570654</v>
      </c>
      <c r="T39" s="65">
        <f t="shared" si="9"/>
        <v>15.176370437570654</v>
      </c>
      <c r="U39" s="60">
        <f t="shared" si="10"/>
        <v>1.0466462370738383</v>
      </c>
      <c r="V39" s="65"/>
      <c r="W39" s="65"/>
      <c r="X39" s="65"/>
      <c r="Y39" s="65"/>
      <c r="Z39" s="65"/>
      <c r="AA39" s="68">
        <f t="shared" si="1"/>
        <v>218.2584164937179</v>
      </c>
      <c r="AB39" s="65">
        <f t="shared" si="11"/>
        <v>-17.5</v>
      </c>
      <c r="AC39" s="65">
        <f t="shared" si="12"/>
        <v>-40.741583506282097</v>
      </c>
      <c r="AD39" s="60">
        <f t="shared" si="13"/>
        <v>-2.8097643797435929</v>
      </c>
      <c r="AE39" s="68">
        <f t="shared" si="2"/>
        <v>154.52794313196713</v>
      </c>
      <c r="AF39" s="73">
        <f t="shared" si="14"/>
        <v>-17.5</v>
      </c>
      <c r="AG39" s="65">
        <f t="shared" si="15"/>
        <v>-104.47205686803287</v>
      </c>
      <c r="AH39" s="60">
        <f t="shared" si="16"/>
        <v>-7.2049694391746808</v>
      </c>
      <c r="AI39" s="62"/>
      <c r="AK39" s="21"/>
      <c r="AL39" s="98">
        <v>1.0159860000000001</v>
      </c>
      <c r="AM39" s="87"/>
    </row>
    <row r="40" spans="2:39" s="3" customFormat="1" x14ac:dyDescent="0.3">
      <c r="B40" s="1">
        <v>43</v>
      </c>
      <c r="C40" s="1">
        <f t="shared" si="0"/>
        <v>9659.52</v>
      </c>
      <c r="D40" s="5">
        <v>0.32500000000000001</v>
      </c>
      <c r="E40" s="10">
        <v>0.79700000000000004</v>
      </c>
      <c r="F40" s="1"/>
      <c r="I40" s="90">
        <v>8000</v>
      </c>
      <c r="J40" s="29">
        <f t="shared" si="3"/>
        <v>4.970981893198454</v>
      </c>
      <c r="K40" s="29">
        <f t="shared" si="18"/>
        <v>85.302049287285485</v>
      </c>
      <c r="L40" s="97">
        <v>341</v>
      </c>
      <c r="M40" s="58">
        <f t="shared" si="17"/>
        <v>-1.9</v>
      </c>
      <c r="N40" s="44">
        <f t="shared" si="19"/>
        <v>-19.399999999999999</v>
      </c>
      <c r="O40" s="44">
        <f t="shared" si="4"/>
        <v>-201.81795071271452</v>
      </c>
      <c r="P40" s="61">
        <f t="shared" si="5"/>
        <v>-13.918479359497553</v>
      </c>
      <c r="Q40" s="68">
        <f t="shared" si="6"/>
        <v>292.45479513340871</v>
      </c>
      <c r="R40" s="65">
        <f t="shared" si="7"/>
        <v>-19.399999999999999</v>
      </c>
      <c r="S40" s="65">
        <f t="shared" si="8"/>
        <v>5.3347951334087043</v>
      </c>
      <c r="T40" s="65">
        <f t="shared" si="9"/>
        <v>5.3347951334087043</v>
      </c>
      <c r="U40" s="60">
        <f t="shared" si="10"/>
        <v>0.36791690575232444</v>
      </c>
      <c r="V40" s="65"/>
      <c r="W40" s="65"/>
      <c r="X40" s="65"/>
      <c r="Y40" s="65"/>
      <c r="Z40" s="65"/>
      <c r="AA40" s="68">
        <f t="shared" si="1"/>
        <v>232.80897759329912</v>
      </c>
      <c r="AB40" s="65">
        <f t="shared" si="11"/>
        <v>-19.399999999999999</v>
      </c>
      <c r="AC40" s="65">
        <f t="shared" si="12"/>
        <v>-54.311022406700886</v>
      </c>
      <c r="AD40" s="60">
        <f t="shared" si="13"/>
        <v>-3.7455877521862679</v>
      </c>
      <c r="AE40" s="68">
        <f t="shared" si="2"/>
        <v>164.82980600743161</v>
      </c>
      <c r="AF40" s="73">
        <f t="shared" si="14"/>
        <v>-19.399999999999999</v>
      </c>
      <c r="AG40" s="65">
        <f t="shared" si="15"/>
        <v>-122.29019399256839</v>
      </c>
      <c r="AH40" s="60">
        <f t="shared" si="16"/>
        <v>-8.4338064822460961</v>
      </c>
      <c r="AI40" s="62"/>
      <c r="AK40" s="21"/>
      <c r="AL40" s="97">
        <v>1.027191</v>
      </c>
      <c r="AM40" s="87"/>
    </row>
    <row r="41" spans="2:39" s="3" customFormat="1" x14ac:dyDescent="0.3">
      <c r="B41" s="1">
        <v>45</v>
      </c>
      <c r="C41" s="1">
        <f t="shared" si="0"/>
        <v>10108.799999999999</v>
      </c>
      <c r="D41" s="5">
        <v>0.35899999999999999</v>
      </c>
      <c r="E41" s="10">
        <v>0.88700000000000001</v>
      </c>
      <c r="F41" s="1"/>
      <c r="H41" s="17" t="s">
        <v>61</v>
      </c>
      <c r="I41" s="90">
        <v>8500</v>
      </c>
      <c r="J41" s="29">
        <f t="shared" si="3"/>
        <v>5.2816682615233574</v>
      </c>
      <c r="K41" s="29">
        <f t="shared" si="18"/>
        <v>90.633427367740808</v>
      </c>
      <c r="L41" s="98">
        <v>331</v>
      </c>
      <c r="M41" s="58">
        <f t="shared" si="17"/>
        <v>-1</v>
      </c>
      <c r="N41" s="44">
        <f t="shared" si="19"/>
        <v>-20.399999999999999</v>
      </c>
      <c r="O41" s="44">
        <f>+K41+N41*14.8</f>
        <v>-211.28657263225921</v>
      </c>
      <c r="P41" s="61">
        <f t="shared" si="5"/>
        <v>-14.571487767742015</v>
      </c>
      <c r="Q41" s="68">
        <f t="shared" si="6"/>
        <v>310.73321982924676</v>
      </c>
      <c r="R41" s="65">
        <f t="shared" si="7"/>
        <v>-20.399999999999999</v>
      </c>
      <c r="S41" s="65">
        <f t="shared" si="8"/>
        <v>8.8132198292467478</v>
      </c>
      <c r="T41" s="65">
        <f t="shared" si="9"/>
        <v>8.8132198292467478</v>
      </c>
      <c r="U41" s="60">
        <f t="shared" si="10"/>
        <v>0.60780826408598265</v>
      </c>
      <c r="V41" s="65"/>
      <c r="W41" s="65"/>
      <c r="X41" s="65"/>
      <c r="Y41" s="65"/>
      <c r="Z41" s="65"/>
      <c r="AA41" s="68">
        <f t="shared" si="1"/>
        <v>247.35953869288031</v>
      </c>
      <c r="AB41" s="65">
        <f t="shared" si="11"/>
        <v>-20.399999999999999</v>
      </c>
      <c r="AC41" s="65">
        <f t="shared" si="12"/>
        <v>-54.560461307119709</v>
      </c>
      <c r="AD41" s="60">
        <f t="shared" si="13"/>
        <v>-3.7627904349737729</v>
      </c>
      <c r="AE41" s="68">
        <f t="shared" si="2"/>
        <v>175.13166888289609</v>
      </c>
      <c r="AF41" s="73">
        <f t="shared" si="14"/>
        <v>-20.399999999999999</v>
      </c>
      <c r="AG41" s="65">
        <f t="shared" si="15"/>
        <v>-126.78833111710392</v>
      </c>
      <c r="AH41" s="60">
        <f t="shared" si="16"/>
        <v>-8.7440228356623386</v>
      </c>
      <c r="AI41" s="62"/>
      <c r="AK41" s="21">
        <v>8450</v>
      </c>
      <c r="AL41" s="98">
        <v>1.0519579999999999</v>
      </c>
      <c r="AM41" s="87"/>
    </row>
    <row r="42" spans="2:39" s="3" customFormat="1" x14ac:dyDescent="0.3">
      <c r="B42" s="19">
        <v>48</v>
      </c>
      <c r="C42" s="1">
        <f t="shared" si="0"/>
        <v>10782.72</v>
      </c>
      <c r="D42" s="5">
        <v>0.39800000000000002</v>
      </c>
      <c r="E42" s="28">
        <v>0.97799999999999998</v>
      </c>
      <c r="F42" s="1"/>
      <c r="I42" s="90">
        <v>9000</v>
      </c>
      <c r="J42" s="29">
        <f t="shared" si="3"/>
        <v>5.5923546298482609</v>
      </c>
      <c r="K42" s="29">
        <f t="shared" si="18"/>
        <v>95.964805448196159</v>
      </c>
      <c r="L42" s="97">
        <v>326</v>
      </c>
      <c r="M42" s="58">
        <f t="shared" si="17"/>
        <v>-0.5</v>
      </c>
      <c r="N42" s="44">
        <f t="shared" si="19"/>
        <v>-20.9</v>
      </c>
      <c r="O42" s="44">
        <f t="shared" si="4"/>
        <v>-213.35519455180383</v>
      </c>
      <c r="P42" s="61">
        <f t="shared" si="5"/>
        <v>-14.714151348400264</v>
      </c>
      <c r="Q42" s="68">
        <f t="shared" si="6"/>
        <v>329.01164452508482</v>
      </c>
      <c r="R42" s="65">
        <f t="shared" si="7"/>
        <v>-20.9</v>
      </c>
      <c r="S42" s="65">
        <f t="shared" si="8"/>
        <v>19.691644525084826</v>
      </c>
      <c r="T42" s="65">
        <f t="shared" si="9"/>
        <v>19.691644525084826</v>
      </c>
      <c r="U42" s="60">
        <f t="shared" si="10"/>
        <v>1.3580444500058499</v>
      </c>
      <c r="V42" s="65"/>
      <c r="W42" s="65"/>
      <c r="X42" s="65"/>
      <c r="Y42" s="65"/>
      <c r="Z42" s="65"/>
      <c r="AA42" s="68">
        <f t="shared" si="1"/>
        <v>261.91009979246149</v>
      </c>
      <c r="AB42" s="65">
        <f t="shared" si="11"/>
        <v>-20.9</v>
      </c>
      <c r="AC42" s="65">
        <f t="shared" si="12"/>
        <v>-47.409900207538499</v>
      </c>
      <c r="AD42" s="60">
        <f t="shared" si="13"/>
        <v>-3.269648290175069</v>
      </c>
      <c r="AE42" s="68">
        <f t="shared" si="2"/>
        <v>185.43353175836057</v>
      </c>
      <c r="AF42" s="73">
        <f t="shared" si="14"/>
        <v>-20.9</v>
      </c>
      <c r="AG42" s="65">
        <f t="shared" si="15"/>
        <v>-123.88646824163942</v>
      </c>
      <c r="AH42" s="60">
        <f t="shared" si="16"/>
        <v>-8.5438943614923737</v>
      </c>
      <c r="AI42" s="72"/>
      <c r="AK42" s="21"/>
      <c r="AL42" s="97">
        <v>1.0735399999999999</v>
      </c>
      <c r="AM42" s="87"/>
    </row>
    <row r="43" spans="2:39" s="3" customFormat="1" x14ac:dyDescent="0.3">
      <c r="B43" s="19">
        <f>(B44+B42)/2</f>
        <v>54</v>
      </c>
      <c r="C43" s="1">
        <f t="shared" si="0"/>
        <v>12130.559999999998</v>
      </c>
      <c r="D43" s="5">
        <v>0.42</v>
      </c>
      <c r="E43" s="28">
        <f>(E44+E42)/2</f>
        <v>1.2690000000000001</v>
      </c>
      <c r="F43" s="1"/>
      <c r="I43" s="90">
        <v>9500</v>
      </c>
      <c r="J43" s="29">
        <f t="shared" si="3"/>
        <v>5.9030409981731644</v>
      </c>
      <c r="K43" s="29">
        <f t="shared" si="18"/>
        <v>101.29618352865151</v>
      </c>
      <c r="L43" s="98">
        <v>315</v>
      </c>
      <c r="M43" s="58">
        <f t="shared" si="17"/>
        <v>-1.1000000000000001</v>
      </c>
      <c r="N43" s="44">
        <f t="shared" si="19"/>
        <v>-22</v>
      </c>
      <c r="O43" s="44">
        <f t="shared" si="4"/>
        <v>-224.30381647134851</v>
      </c>
      <c r="P43" s="61">
        <f t="shared" si="5"/>
        <v>-15.469228722161967</v>
      </c>
      <c r="Q43" s="68"/>
      <c r="R43" s="65"/>
      <c r="S43" s="65"/>
      <c r="T43" s="65"/>
      <c r="U43" s="60"/>
      <c r="V43" s="65"/>
      <c r="W43" s="65"/>
      <c r="X43" s="65"/>
      <c r="Y43" s="65"/>
      <c r="Z43" s="65"/>
      <c r="AA43" s="68"/>
      <c r="AB43" s="65"/>
      <c r="AC43" s="65"/>
      <c r="AD43" s="60"/>
      <c r="AE43" s="68"/>
      <c r="AF43" s="73"/>
      <c r="AG43" s="65"/>
      <c r="AH43" s="60"/>
      <c r="AI43" s="72"/>
      <c r="AK43" s="21"/>
      <c r="AL43" s="98">
        <v>1.585404</v>
      </c>
      <c r="AM43" s="87"/>
    </row>
    <row r="44" spans="2:39" s="3" customFormat="1" x14ac:dyDescent="0.3">
      <c r="B44" s="1">
        <v>60</v>
      </c>
      <c r="C44" s="1">
        <f t="shared" si="0"/>
        <v>13478.399999999998</v>
      </c>
      <c r="D44" s="5">
        <v>0.628</v>
      </c>
      <c r="E44" s="10">
        <v>1.56</v>
      </c>
      <c r="F44" s="1"/>
      <c r="I44" s="90">
        <v>10000</v>
      </c>
      <c r="J44" s="29">
        <f t="shared" si="3"/>
        <v>6.2137273664980679</v>
      </c>
      <c r="K44" s="29">
        <f t="shared" si="18"/>
        <v>106.62756160910685</v>
      </c>
      <c r="L44" s="97">
        <v>313</v>
      </c>
      <c r="M44" s="58">
        <f t="shared" si="17"/>
        <v>-0.2</v>
      </c>
      <c r="N44" s="44">
        <f t="shared" si="19"/>
        <v>-22.2</v>
      </c>
      <c r="O44" s="44">
        <f t="shared" si="4"/>
        <v>-221.93243839089314</v>
      </c>
      <c r="P44" s="61">
        <f t="shared" si="5"/>
        <v>-15.305685406268493</v>
      </c>
      <c r="Q44" s="68">
        <f t="shared" ref="Q44:Q107" si="20">+($I44/1609.34)*5280/(100)*$D$47</f>
        <v>365.56849391676087</v>
      </c>
      <c r="R44" s="65">
        <f t="shared" si="7"/>
        <v>-22.2</v>
      </c>
      <c r="S44" s="65">
        <f t="shared" si="8"/>
        <v>37.00849391676087</v>
      </c>
      <c r="T44" s="65">
        <f t="shared" si="9"/>
        <v>37.00849391676087</v>
      </c>
      <c r="U44" s="60">
        <f t="shared" si="10"/>
        <v>2.5523099252938533</v>
      </c>
      <c r="V44" s="65"/>
      <c r="W44" s="65"/>
      <c r="X44" s="65"/>
      <c r="Y44" s="65"/>
      <c r="Z44" s="65"/>
      <c r="AA44" s="68">
        <f t="shared" ref="AA44:AA107" si="21">+($I44/1609.34)*5280/(100)*$D$45</f>
        <v>291.01122199162387</v>
      </c>
      <c r="AB44" s="65">
        <f t="shared" si="11"/>
        <v>-22.2</v>
      </c>
      <c r="AC44" s="65">
        <f t="shared" si="12"/>
        <v>-37.548778008376132</v>
      </c>
      <c r="AD44" s="60">
        <f t="shared" si="13"/>
        <v>-2.5895708971293883</v>
      </c>
      <c r="AE44" s="68">
        <f t="shared" ref="AE44:AE107" si="22">+($I44/1609.34)*5280/(100)*$D$44</f>
        <v>206.03725750928953</v>
      </c>
      <c r="AF44" s="73">
        <f t="shared" si="14"/>
        <v>-22.2</v>
      </c>
      <c r="AG44" s="65">
        <f t="shared" si="15"/>
        <v>-122.52274249071047</v>
      </c>
      <c r="AH44" s="60">
        <f t="shared" si="16"/>
        <v>-8.4498443097041704</v>
      </c>
      <c r="AI44" s="62"/>
      <c r="AK44" s="21"/>
      <c r="AL44" s="97">
        <v>1.6510899999999999</v>
      </c>
      <c r="AM44" s="87"/>
    </row>
    <row r="45" spans="2:39" s="3" customFormat="1" x14ac:dyDescent="0.3">
      <c r="B45" s="20">
        <v>71</v>
      </c>
      <c r="C45" s="18">
        <f t="shared" si="0"/>
        <v>15949.440000000002</v>
      </c>
      <c r="D45" s="5">
        <v>0.88700000000000001</v>
      </c>
      <c r="E45" s="30">
        <v>2.2000000000000002</v>
      </c>
      <c r="F45" s="1"/>
      <c r="G45" s="21">
        <f>+(B45+B46)/2</f>
        <v>74</v>
      </c>
      <c r="H45" s="21">
        <f>+(D45+D46)/2</f>
        <v>0.96274999999999999</v>
      </c>
      <c r="I45" s="90">
        <v>10500</v>
      </c>
      <c r="J45" s="29">
        <f t="shared" si="3"/>
        <v>6.5244137348229714</v>
      </c>
      <c r="K45" s="29">
        <f t="shared" si="18"/>
        <v>111.95893968956219</v>
      </c>
      <c r="L45" s="98">
        <v>310</v>
      </c>
      <c r="M45" s="58">
        <f t="shared" si="17"/>
        <v>-0.3</v>
      </c>
      <c r="N45" s="44">
        <f t="shared" si="19"/>
        <v>-22.5</v>
      </c>
      <c r="O45" s="44">
        <f t="shared" si="4"/>
        <v>-221.04106031043781</v>
      </c>
      <c r="P45" s="61">
        <f t="shared" si="5"/>
        <v>-15.244211055892263</v>
      </c>
      <c r="Q45" s="68">
        <f t="shared" si="20"/>
        <v>383.84691861259898</v>
      </c>
      <c r="R45" s="65">
        <f t="shared" si="7"/>
        <v>-22.5</v>
      </c>
      <c r="S45" s="65">
        <f t="shared" si="8"/>
        <v>50.846918612598984</v>
      </c>
      <c r="T45" s="65">
        <f t="shared" si="9"/>
        <v>50.846918612598984</v>
      </c>
      <c r="U45" s="60">
        <f t="shared" si="10"/>
        <v>3.5066840422482057</v>
      </c>
      <c r="V45" s="65"/>
      <c r="W45" s="65"/>
      <c r="X45" s="65"/>
      <c r="Y45" s="65"/>
      <c r="Z45" s="65"/>
      <c r="AA45" s="68">
        <f t="shared" si="21"/>
        <v>305.56178309120514</v>
      </c>
      <c r="AB45" s="65">
        <f t="shared" si="11"/>
        <v>-22.5</v>
      </c>
      <c r="AC45" s="65">
        <f t="shared" si="12"/>
        <v>-27.438216908794857</v>
      </c>
      <c r="AD45" s="60">
        <f t="shared" si="13"/>
        <v>-1.8922908212961971</v>
      </c>
      <c r="AE45" s="68">
        <f t="shared" si="22"/>
        <v>216.33912038475401</v>
      </c>
      <c r="AF45" s="73">
        <f t="shared" si="14"/>
        <v>-22.5</v>
      </c>
      <c r="AG45" s="65">
        <f t="shared" si="15"/>
        <v>-116.66087961524599</v>
      </c>
      <c r="AH45" s="60">
        <f t="shared" si="16"/>
        <v>-8.0455779044997229</v>
      </c>
      <c r="AI45" s="62"/>
      <c r="AK45" s="21"/>
      <c r="AL45" s="98">
        <v>1.665996</v>
      </c>
      <c r="AM45" s="87"/>
    </row>
    <row r="46" spans="2:39" s="3" customFormat="1" x14ac:dyDescent="0.3">
      <c r="B46" s="42">
        <f>+(B45+B48)/2</f>
        <v>77</v>
      </c>
      <c r="C46" s="1">
        <f>+(C45+C48)/2</f>
        <v>17297.28</v>
      </c>
      <c r="D46" s="1">
        <f>+(D45+D48)/2</f>
        <v>1.0385</v>
      </c>
      <c r="E46" s="1">
        <f>+(E45+E48)/2</f>
        <v>2.585</v>
      </c>
      <c r="F46" s="1"/>
      <c r="I46" s="90">
        <v>11000</v>
      </c>
      <c r="J46" s="29">
        <f t="shared" si="3"/>
        <v>6.8351001031478749</v>
      </c>
      <c r="K46" s="29">
        <f t="shared" si="18"/>
        <v>117.29031777001754</v>
      </c>
      <c r="L46" s="97">
        <v>303</v>
      </c>
      <c r="M46" s="58">
        <f t="shared" si="17"/>
        <v>-0.7</v>
      </c>
      <c r="N46" s="44">
        <f t="shared" si="19"/>
        <v>-23.2</v>
      </c>
      <c r="O46" s="44">
        <f t="shared" si="4"/>
        <v>-226.06968222998248</v>
      </c>
      <c r="P46" s="61">
        <f t="shared" si="5"/>
        <v>-15.591012567584999</v>
      </c>
      <c r="Q46" s="68">
        <f t="shared" si="20"/>
        <v>402.12534330843704</v>
      </c>
      <c r="R46" s="65">
        <f t="shared" si="7"/>
        <v>-23.2</v>
      </c>
      <c r="S46" s="65">
        <f t="shared" si="8"/>
        <v>58.765343308437025</v>
      </c>
      <c r="T46" s="65">
        <f t="shared" si="9"/>
        <v>58.765343308437025</v>
      </c>
      <c r="U46" s="60">
        <f t="shared" si="10"/>
        <v>4.0527822971335876</v>
      </c>
      <c r="V46" s="65"/>
      <c r="W46" s="65"/>
      <c r="X46" s="65"/>
      <c r="Y46" s="65"/>
      <c r="Z46" s="65"/>
      <c r="AA46" s="68">
        <f t="shared" si="21"/>
        <v>320.11234419078636</v>
      </c>
      <c r="AB46" s="65">
        <f t="shared" si="11"/>
        <v>-23.2</v>
      </c>
      <c r="AC46" s="65">
        <f t="shared" si="12"/>
        <v>-23.247655809213654</v>
      </c>
      <c r="AD46" s="60">
        <f t="shared" si="13"/>
        <v>-1.603286607531976</v>
      </c>
      <c r="AE46" s="68">
        <f t="shared" si="22"/>
        <v>226.64098326021852</v>
      </c>
      <c r="AF46" s="73">
        <f t="shared" si="14"/>
        <v>-23.2</v>
      </c>
      <c r="AG46" s="65">
        <f t="shared" si="15"/>
        <v>-116.71901673978149</v>
      </c>
      <c r="AH46" s="60">
        <f t="shared" si="16"/>
        <v>-8.0495873613642406</v>
      </c>
      <c r="AI46" s="62"/>
      <c r="AK46" s="21"/>
      <c r="AL46" s="97">
        <v>1.6772400000000001</v>
      </c>
      <c r="AM46" s="87"/>
    </row>
    <row r="47" spans="2:39" s="3" customFormat="1" x14ac:dyDescent="0.3">
      <c r="B47" s="7">
        <f>+(B46+B48)/2</f>
        <v>80</v>
      </c>
      <c r="C47" s="1">
        <f t="shared" ref="C47:E47" si="23">+(C46+C48)/2</f>
        <v>17971.199999999997</v>
      </c>
      <c r="D47" s="1">
        <f t="shared" si="23"/>
        <v>1.11425</v>
      </c>
      <c r="E47" s="1">
        <f t="shared" si="23"/>
        <v>2.7774999999999999</v>
      </c>
      <c r="F47" s="1"/>
      <c r="I47" s="90">
        <v>11500</v>
      </c>
      <c r="J47" s="29">
        <f t="shared" si="3"/>
        <v>7.1457864714727783</v>
      </c>
      <c r="K47" s="29">
        <f t="shared" si="18"/>
        <v>122.62169585047289</v>
      </c>
      <c r="L47" s="98">
        <v>300</v>
      </c>
      <c r="M47" s="58">
        <f t="shared" si="17"/>
        <v>-0.3</v>
      </c>
      <c r="N47" s="44">
        <f t="shared" si="19"/>
        <v>-23.5</v>
      </c>
      <c r="O47" s="44">
        <f t="shared" si="4"/>
        <v>-225.17830414952712</v>
      </c>
      <c r="P47" s="61">
        <f t="shared" si="5"/>
        <v>-15.529538217208767</v>
      </c>
      <c r="Q47" s="68">
        <f t="shared" si="20"/>
        <v>420.40376800427509</v>
      </c>
      <c r="R47" s="65">
        <f t="shared" si="7"/>
        <v>-23.5</v>
      </c>
      <c r="S47" s="65">
        <f t="shared" si="8"/>
        <v>72.603768004275082</v>
      </c>
      <c r="T47" s="65">
        <f t="shared" si="9"/>
        <v>72.603768004275082</v>
      </c>
      <c r="U47" s="60">
        <f t="shared" si="10"/>
        <v>5.0071564140879365</v>
      </c>
      <c r="V47" s="65"/>
      <c r="W47" s="65"/>
      <c r="X47" s="65"/>
      <c r="Y47" s="65"/>
      <c r="Z47" s="65"/>
      <c r="AA47" s="68">
        <f t="shared" si="21"/>
        <v>334.66290529036758</v>
      </c>
      <c r="AB47" s="65">
        <f t="shared" si="11"/>
        <v>-23.5</v>
      </c>
      <c r="AC47" s="65">
        <f t="shared" si="12"/>
        <v>-13.137094709632436</v>
      </c>
      <c r="AD47" s="60">
        <f t="shared" si="13"/>
        <v>-0.90600653169878864</v>
      </c>
      <c r="AE47" s="68">
        <f t="shared" si="22"/>
        <v>236.942846135683</v>
      </c>
      <c r="AF47" s="73">
        <f t="shared" si="14"/>
        <v>-23.5</v>
      </c>
      <c r="AG47" s="65">
        <f t="shared" si="15"/>
        <v>-110.85715386431701</v>
      </c>
      <c r="AH47" s="60">
        <f t="shared" si="16"/>
        <v>-7.6453209561597939</v>
      </c>
      <c r="AI47" s="62"/>
      <c r="AK47" s="21"/>
      <c r="AL47" s="98">
        <v>1.6959409999999999</v>
      </c>
      <c r="AM47" s="87"/>
    </row>
    <row r="48" spans="2:39" s="3" customFormat="1" x14ac:dyDescent="0.3">
      <c r="B48" s="42">
        <v>83</v>
      </c>
      <c r="C48" s="1">
        <f>+B48*0.156*60*24</f>
        <v>18645.12</v>
      </c>
      <c r="D48" s="5">
        <v>1.19</v>
      </c>
      <c r="E48" s="10">
        <v>2.97</v>
      </c>
      <c r="F48" s="1"/>
      <c r="I48" s="90">
        <v>12000</v>
      </c>
      <c r="J48" s="29">
        <f t="shared" si="3"/>
        <v>7.4564728397976818</v>
      </c>
      <c r="K48" s="29">
        <f t="shared" si="18"/>
        <v>127.95307393092821</v>
      </c>
      <c r="L48" s="97">
        <v>297</v>
      </c>
      <c r="M48" s="58">
        <f t="shared" si="17"/>
        <v>-0.3</v>
      </c>
      <c r="N48" s="44">
        <f t="shared" si="19"/>
        <v>-23.8</v>
      </c>
      <c r="O48" s="44">
        <f t="shared" si="4"/>
        <v>-224.2869260690718</v>
      </c>
      <c r="P48" s="61">
        <f t="shared" si="5"/>
        <v>-15.468063866832537</v>
      </c>
      <c r="Q48" s="68">
        <f t="shared" si="20"/>
        <v>438.68219270011303</v>
      </c>
      <c r="R48" s="65">
        <f t="shared" si="7"/>
        <v>-23.8</v>
      </c>
      <c r="S48" s="65">
        <f t="shared" si="8"/>
        <v>86.442192700113026</v>
      </c>
      <c r="T48" s="65">
        <f t="shared" si="9"/>
        <v>86.442192700113026</v>
      </c>
      <c r="U48" s="60">
        <f t="shared" si="10"/>
        <v>5.9615305310422775</v>
      </c>
      <c r="V48" s="65"/>
      <c r="W48" s="65"/>
      <c r="X48" s="65"/>
      <c r="Y48" s="65"/>
      <c r="Z48" s="65"/>
      <c r="AA48" s="68">
        <f t="shared" si="21"/>
        <v>349.21346638994868</v>
      </c>
      <c r="AB48" s="65">
        <f t="shared" si="11"/>
        <v>-23.8</v>
      </c>
      <c r="AC48" s="65">
        <f t="shared" si="12"/>
        <v>-3.0265336100513309</v>
      </c>
      <c r="AD48" s="60">
        <f t="shared" si="13"/>
        <v>-0.20872645586560903</v>
      </c>
      <c r="AE48" s="68">
        <f t="shared" si="22"/>
        <v>247.24470901114742</v>
      </c>
      <c r="AF48" s="73">
        <f t="shared" si="14"/>
        <v>-23.8</v>
      </c>
      <c r="AG48" s="65">
        <f t="shared" si="15"/>
        <v>-104.99529098885259</v>
      </c>
      <c r="AH48" s="60">
        <f t="shared" si="16"/>
        <v>-7.2410545509553508</v>
      </c>
      <c r="AI48" s="62"/>
      <c r="AK48" s="21"/>
      <c r="AL48" s="97">
        <v>2.0917219999999999</v>
      </c>
      <c r="AM48" s="87"/>
    </row>
    <row r="49" spans="2:39" s="3" customFormat="1" x14ac:dyDescent="0.3">
      <c r="B49" s="42">
        <f>+(B48+B50)/2</f>
        <v>89</v>
      </c>
      <c r="C49" s="1">
        <f t="shared" ref="C49:E49" si="24">+(C48+C50)/2</f>
        <v>19992.96</v>
      </c>
      <c r="D49" s="1">
        <f t="shared" si="24"/>
        <v>1.365</v>
      </c>
      <c r="E49" s="1">
        <f t="shared" si="24"/>
        <v>3.395</v>
      </c>
      <c r="F49" s="1"/>
      <c r="I49" s="90">
        <v>12500</v>
      </c>
      <c r="J49" s="29">
        <f t="shared" si="3"/>
        <v>7.7671592081225844</v>
      </c>
      <c r="K49" s="29">
        <f t="shared" si="18"/>
        <v>133.28445201138356</v>
      </c>
      <c r="L49" s="98">
        <v>295</v>
      </c>
      <c r="M49" s="58">
        <f t="shared" si="17"/>
        <v>-0.2</v>
      </c>
      <c r="N49" s="44">
        <f t="shared" si="19"/>
        <v>-24</v>
      </c>
      <c r="O49" s="44">
        <f t="shared" si="4"/>
        <v>-221.91554798861648</v>
      </c>
      <c r="P49" s="61">
        <f t="shared" si="5"/>
        <v>-15.304520550939067</v>
      </c>
      <c r="Q49" s="81">
        <f t="shared" si="20"/>
        <v>456.96061739595115</v>
      </c>
      <c r="R49" s="44">
        <f t="shared" si="7"/>
        <v>-24</v>
      </c>
      <c r="S49" s="65">
        <f t="shared" si="8"/>
        <v>101.7606173959511</v>
      </c>
      <c r="T49" s="44">
        <f t="shared" si="9"/>
        <v>101.7606173959511</v>
      </c>
      <c r="U49" s="64">
        <f t="shared" si="10"/>
        <v>7.0179736135138686</v>
      </c>
      <c r="V49" s="65"/>
      <c r="W49" s="65"/>
      <c r="X49" s="65"/>
      <c r="Y49" s="65"/>
      <c r="Z49" s="44"/>
      <c r="AA49" s="81">
        <f t="shared" si="21"/>
        <v>363.76402748952989</v>
      </c>
      <c r="AB49" s="44">
        <f t="shared" si="11"/>
        <v>-24</v>
      </c>
      <c r="AC49" s="44">
        <f t="shared" si="12"/>
        <v>8.5640274895298489</v>
      </c>
      <c r="AD49" s="64">
        <f t="shared" si="13"/>
        <v>0.59062258548481716</v>
      </c>
      <c r="AE49" s="81">
        <f t="shared" si="22"/>
        <v>257.5465718866119</v>
      </c>
      <c r="AF49" s="82">
        <f t="shared" si="14"/>
        <v>-24</v>
      </c>
      <c r="AG49" s="44">
        <f t="shared" si="15"/>
        <v>-97.653428113388145</v>
      </c>
      <c r="AH49" s="64">
        <f t="shared" si="16"/>
        <v>-6.7347191802336654</v>
      </c>
      <c r="AI49" s="62"/>
      <c r="AK49" s="21"/>
      <c r="AL49" s="98">
        <v>2.320192</v>
      </c>
      <c r="AM49" s="87"/>
    </row>
    <row r="50" spans="2:39" s="3" customFormat="1" x14ac:dyDescent="0.3">
      <c r="B50" s="42">
        <v>95</v>
      </c>
      <c r="C50" s="1">
        <f>+B50*0.156*60*24</f>
        <v>21340.800000000003</v>
      </c>
      <c r="D50" s="5">
        <v>1.54</v>
      </c>
      <c r="E50" s="10">
        <v>3.82</v>
      </c>
      <c r="F50" s="1"/>
      <c r="I50" s="90">
        <v>13000</v>
      </c>
      <c r="J50" s="29">
        <f t="shared" si="3"/>
        <v>8.0778455764474888</v>
      </c>
      <c r="K50" s="29">
        <f t="shared" si="18"/>
        <v>138.61583009183892</v>
      </c>
      <c r="L50" s="97">
        <v>291</v>
      </c>
      <c r="M50" s="58">
        <f t="shared" si="17"/>
        <v>-0.4</v>
      </c>
      <c r="N50" s="44">
        <f t="shared" si="19"/>
        <v>-24.4</v>
      </c>
      <c r="O50" s="44">
        <f t="shared" si="4"/>
        <v>-222.50416990816109</v>
      </c>
      <c r="P50" s="61">
        <f t="shared" si="5"/>
        <v>-15.345115166080076</v>
      </c>
      <c r="Q50" s="81">
        <f t="shared" si="20"/>
        <v>475.2390420917892</v>
      </c>
      <c r="R50" s="44">
        <f t="shared" si="7"/>
        <v>-24.4</v>
      </c>
      <c r="S50" s="65">
        <f t="shared" si="8"/>
        <v>114.1190420917892</v>
      </c>
      <c r="T50" s="44">
        <f t="shared" si="9"/>
        <v>114.1190420917892</v>
      </c>
      <c r="U50" s="64">
        <f t="shared" si="10"/>
        <v>7.8702787649509789</v>
      </c>
      <c r="V50" s="65"/>
      <c r="W50" s="65"/>
      <c r="X50" s="65"/>
      <c r="Y50" s="65"/>
      <c r="Z50" s="44"/>
      <c r="AA50" s="81">
        <f t="shared" si="21"/>
        <v>378.31458858911111</v>
      </c>
      <c r="AB50" s="44">
        <f t="shared" si="11"/>
        <v>-24.4</v>
      </c>
      <c r="AC50" s="44">
        <f t="shared" si="12"/>
        <v>17.194588589111106</v>
      </c>
      <c r="AD50" s="64">
        <f t="shared" si="13"/>
        <v>1.185833695800766</v>
      </c>
      <c r="AE50" s="81">
        <f t="shared" si="22"/>
        <v>267.84843476207641</v>
      </c>
      <c r="AF50" s="82">
        <f t="shared" si="14"/>
        <v>-24.4</v>
      </c>
      <c r="AG50" s="44">
        <f t="shared" si="15"/>
        <v>-93.271565237923596</v>
      </c>
      <c r="AH50" s="64">
        <f t="shared" si="16"/>
        <v>-6.4325217405464548</v>
      </c>
      <c r="AI50" s="62"/>
      <c r="AK50" s="21"/>
      <c r="AL50" s="97">
        <v>2.342244</v>
      </c>
      <c r="AM50" s="87"/>
    </row>
    <row r="51" spans="2:39" s="3" customFormat="1" x14ac:dyDescent="0.3">
      <c r="B51" s="1"/>
      <c r="C51" s="1"/>
      <c r="D51" s="1"/>
      <c r="F51" s="1"/>
      <c r="I51" s="90">
        <v>13500</v>
      </c>
      <c r="J51" s="29">
        <f t="shared" si="3"/>
        <v>8.3885319447723923</v>
      </c>
      <c r="K51" s="29">
        <f t="shared" si="18"/>
        <v>143.94720817229427</v>
      </c>
      <c r="L51" s="98">
        <v>289</v>
      </c>
      <c r="M51" s="58">
        <f t="shared" si="17"/>
        <v>-0.2</v>
      </c>
      <c r="N51" s="44">
        <f t="shared" si="19"/>
        <v>-24.599999999999998</v>
      </c>
      <c r="O51" s="44">
        <f t="shared" si="4"/>
        <v>-220.13279182770572</v>
      </c>
      <c r="P51" s="61">
        <f t="shared" si="5"/>
        <v>-15.181571850186602</v>
      </c>
      <c r="Q51" s="81">
        <f t="shared" si="20"/>
        <v>493.51746678762726</v>
      </c>
      <c r="R51" s="44">
        <f t="shared" si="7"/>
        <v>-24.599999999999998</v>
      </c>
      <c r="S51" s="65">
        <f t="shared" si="8"/>
        <v>129.43746678762727</v>
      </c>
      <c r="T51" s="44">
        <f t="shared" si="9"/>
        <v>129.43746678762727</v>
      </c>
      <c r="U51" s="64">
        <f t="shared" si="10"/>
        <v>8.92672184742257</v>
      </c>
      <c r="V51" s="65"/>
      <c r="W51" s="65"/>
      <c r="X51" s="65"/>
      <c r="Y51" s="65"/>
      <c r="Z51" s="44"/>
      <c r="AA51" s="81">
        <f t="shared" si="21"/>
        <v>392.86514968869233</v>
      </c>
      <c r="AB51" s="44">
        <f t="shared" si="11"/>
        <v>-24.599999999999998</v>
      </c>
      <c r="AC51" s="44">
        <f t="shared" si="12"/>
        <v>28.785149688692343</v>
      </c>
      <c r="AD51" s="64">
        <f t="shared" si="13"/>
        <v>1.9851827371511961</v>
      </c>
      <c r="AE51" s="81">
        <f t="shared" si="22"/>
        <v>278.15029763754092</v>
      </c>
      <c r="AF51" s="82">
        <f t="shared" si="14"/>
        <v>-24.599999999999998</v>
      </c>
      <c r="AG51" s="44">
        <f t="shared" si="15"/>
        <v>-85.929702362459068</v>
      </c>
      <c r="AH51" s="64">
        <f t="shared" si="16"/>
        <v>-5.9261863698247632</v>
      </c>
      <c r="AI51" s="62"/>
      <c r="AK51" s="21"/>
      <c r="AL51" s="98">
        <v>2.3643130000000001</v>
      </c>
      <c r="AM51" s="87"/>
    </row>
    <row r="52" spans="2:39" s="3" customFormat="1" x14ac:dyDescent="0.3">
      <c r="B52" s="1"/>
      <c r="C52" s="1"/>
      <c r="D52" s="1"/>
      <c r="F52" s="1"/>
      <c r="I52" s="90">
        <v>14000</v>
      </c>
      <c r="J52" s="29">
        <f t="shared" si="3"/>
        <v>8.6992183130972958</v>
      </c>
      <c r="K52" s="29">
        <f t="shared" si="18"/>
        <v>149.27858625274962</v>
      </c>
      <c r="L52" s="97">
        <v>289</v>
      </c>
      <c r="M52" s="58">
        <f t="shared" si="17"/>
        <v>0</v>
      </c>
      <c r="N52" s="44">
        <f t="shared" si="19"/>
        <v>-24.599999999999998</v>
      </c>
      <c r="O52" s="44">
        <f t="shared" si="4"/>
        <v>-214.80141374725036</v>
      </c>
      <c r="P52" s="61">
        <f t="shared" si="5"/>
        <v>-14.813890603258645</v>
      </c>
      <c r="Q52" s="81">
        <f t="shared" si="20"/>
        <v>511.79589148346537</v>
      </c>
      <c r="R52" s="44">
        <f t="shared" si="7"/>
        <v>-24.599999999999998</v>
      </c>
      <c r="S52" s="65">
        <f t="shared" si="8"/>
        <v>147.71589148346538</v>
      </c>
      <c r="T52" s="44">
        <f t="shared" si="9"/>
        <v>147.71589148346538</v>
      </c>
      <c r="U52" s="64">
        <f t="shared" si="10"/>
        <v>10.187302860928646</v>
      </c>
      <c r="V52" s="65"/>
      <c r="W52" s="65"/>
      <c r="X52" s="65"/>
      <c r="Y52" s="65"/>
      <c r="Z52" s="44"/>
      <c r="AA52" s="81">
        <f t="shared" si="21"/>
        <v>407.41571078827354</v>
      </c>
      <c r="AB52" s="44">
        <f t="shared" si="11"/>
        <v>-24.599999999999998</v>
      </c>
      <c r="AC52" s="44">
        <f t="shared" si="12"/>
        <v>43.335710788273559</v>
      </c>
      <c r="AD52" s="64">
        <f t="shared" si="13"/>
        <v>2.9886697095361074</v>
      </c>
      <c r="AE52" s="81">
        <f t="shared" si="22"/>
        <v>288.45216051300537</v>
      </c>
      <c r="AF52" s="82">
        <f t="shared" si="14"/>
        <v>-24.599999999999998</v>
      </c>
      <c r="AG52" s="44">
        <f t="shared" si="15"/>
        <v>-75.627839486994617</v>
      </c>
      <c r="AH52" s="64">
        <f t="shared" si="16"/>
        <v>-5.2157130680685944</v>
      </c>
      <c r="AI52" s="62"/>
      <c r="AK52" s="21"/>
      <c r="AL52" s="97">
        <v>2.389154</v>
      </c>
      <c r="AM52" s="87"/>
    </row>
    <row r="53" spans="2:39" s="3" customFormat="1" x14ac:dyDescent="0.3">
      <c r="B53" s="1"/>
      <c r="C53" s="1"/>
      <c r="D53" s="1"/>
      <c r="F53" s="1"/>
      <c r="I53" s="90">
        <v>14500</v>
      </c>
      <c r="J53" s="29">
        <f t="shared" si="3"/>
        <v>9.0099046814221992</v>
      </c>
      <c r="K53" s="29">
        <f t="shared" si="18"/>
        <v>154.60996433320494</v>
      </c>
      <c r="L53" s="98">
        <v>290</v>
      </c>
      <c r="M53" s="58">
        <f t="shared" si="17"/>
        <v>0.1</v>
      </c>
      <c r="N53" s="44">
        <f t="shared" si="19"/>
        <v>-24.499999999999996</v>
      </c>
      <c r="O53" s="44">
        <f t="shared" si="4"/>
        <v>-207.99003566679502</v>
      </c>
      <c r="P53" s="61">
        <f t="shared" si="5"/>
        <v>-14.34414039081345</v>
      </c>
      <c r="Q53" s="81">
        <f t="shared" si="20"/>
        <v>530.07431617930331</v>
      </c>
      <c r="R53" s="44">
        <f t="shared" si="7"/>
        <v>-24.499999999999996</v>
      </c>
      <c r="S53" s="65">
        <f t="shared" si="8"/>
        <v>167.47431617930334</v>
      </c>
      <c r="T53" s="44">
        <f t="shared" si="9"/>
        <v>167.47431617930334</v>
      </c>
      <c r="U53" s="64">
        <f t="shared" si="10"/>
        <v>11.549952839951954</v>
      </c>
      <c r="V53" s="65"/>
      <c r="W53" s="65"/>
      <c r="X53" s="65"/>
      <c r="Y53" s="65"/>
      <c r="Z53" s="44"/>
      <c r="AA53" s="81">
        <f t="shared" si="21"/>
        <v>421.9662718878547</v>
      </c>
      <c r="AB53" s="44">
        <f t="shared" si="11"/>
        <v>-24.499999999999996</v>
      </c>
      <c r="AC53" s="44">
        <f t="shared" si="12"/>
        <v>59.366271887854737</v>
      </c>
      <c r="AD53" s="64">
        <f t="shared" si="13"/>
        <v>4.0942256474382575</v>
      </c>
      <c r="AE53" s="81">
        <f t="shared" si="22"/>
        <v>298.75402338846982</v>
      </c>
      <c r="AF53" s="82">
        <f t="shared" si="14"/>
        <v>-24.499999999999996</v>
      </c>
      <c r="AG53" s="44">
        <f t="shared" si="15"/>
        <v>-63.845976611530148</v>
      </c>
      <c r="AH53" s="64">
        <f t="shared" si="16"/>
        <v>-4.4031708007951824</v>
      </c>
      <c r="AI53" s="62"/>
      <c r="AK53" s="21"/>
      <c r="AL53" s="98">
        <v>2.44143</v>
      </c>
      <c r="AM53" s="87"/>
    </row>
    <row r="54" spans="2:39" s="3" customFormat="1" x14ac:dyDescent="0.3">
      <c r="B54" s="1"/>
      <c r="C54" s="1"/>
      <c r="D54" s="1"/>
      <c r="F54" s="1"/>
      <c r="I54" s="90">
        <v>15000</v>
      </c>
      <c r="J54" s="29">
        <f t="shared" si="3"/>
        <v>9.320591049747101</v>
      </c>
      <c r="K54" s="29">
        <f t="shared" si="18"/>
        <v>159.94134241366027</v>
      </c>
      <c r="L54" s="97">
        <v>290</v>
      </c>
      <c r="M54" s="58">
        <f t="shared" si="17"/>
        <v>0</v>
      </c>
      <c r="N54" s="44">
        <f t="shared" si="19"/>
        <v>-24.499999999999996</v>
      </c>
      <c r="O54" s="44">
        <f>+K54+N54*14.8</f>
        <v>-202.6586575863397</v>
      </c>
      <c r="P54" s="54">
        <f>+O54/14.5</f>
        <v>-13.976459143885496</v>
      </c>
      <c r="Q54" s="81">
        <f t="shared" si="20"/>
        <v>548.35274087514131</v>
      </c>
      <c r="R54" s="44">
        <f t="shared" si="7"/>
        <v>-24.499999999999996</v>
      </c>
      <c r="S54" s="65">
        <f t="shared" si="8"/>
        <v>185.75274087514134</v>
      </c>
      <c r="T54" s="44">
        <f t="shared" si="9"/>
        <v>185.75274087514134</v>
      </c>
      <c r="U54" s="64">
        <f t="shared" si="10"/>
        <v>12.810533853458024</v>
      </c>
      <c r="V54" s="65"/>
      <c r="W54" s="65"/>
      <c r="X54" s="65"/>
      <c r="Y54" s="65"/>
      <c r="Z54" s="44"/>
      <c r="AA54" s="81">
        <f t="shared" si="21"/>
        <v>436.51683298743581</v>
      </c>
      <c r="AB54" s="44">
        <f t="shared" si="11"/>
        <v>-24.499999999999996</v>
      </c>
      <c r="AC54" s="44">
        <f t="shared" si="12"/>
        <v>73.916832987435839</v>
      </c>
      <c r="AD54" s="64">
        <f t="shared" si="13"/>
        <v>5.0977126198231613</v>
      </c>
      <c r="AE54" s="81">
        <f t="shared" si="22"/>
        <v>309.05588626393427</v>
      </c>
      <c r="AF54" s="82">
        <f t="shared" si="14"/>
        <v>-24.499999999999996</v>
      </c>
      <c r="AG54" s="44">
        <f t="shared" si="15"/>
        <v>-53.544113736065697</v>
      </c>
      <c r="AH54" s="64">
        <f t="shared" si="16"/>
        <v>-3.6926974990390136</v>
      </c>
      <c r="AI54" s="62"/>
      <c r="AK54" s="21"/>
      <c r="AL54" s="97">
        <v>2.4912399999999999</v>
      </c>
      <c r="AM54" s="87"/>
    </row>
    <row r="55" spans="2:39" s="3" customFormat="1" x14ac:dyDescent="0.3">
      <c r="B55" s="1"/>
      <c r="C55" s="1"/>
      <c r="D55" s="1"/>
      <c r="F55" s="1"/>
      <c r="I55" s="90">
        <v>15500</v>
      </c>
      <c r="J55" s="29">
        <f t="shared" si="3"/>
        <v>9.6312774180720044</v>
      </c>
      <c r="K55" s="29">
        <f t="shared" si="18"/>
        <v>165.27272049411562</v>
      </c>
      <c r="L55" s="98">
        <v>291</v>
      </c>
      <c r="M55" s="58">
        <f t="shared" si="17"/>
        <v>0.1</v>
      </c>
      <c r="N55" s="44">
        <f t="shared" si="19"/>
        <v>-24.399999999999995</v>
      </c>
      <c r="O55" s="44">
        <f t="shared" si="4"/>
        <v>-195.84727950588433</v>
      </c>
      <c r="P55" s="54">
        <f t="shared" si="5"/>
        <v>-13.506708931440299</v>
      </c>
      <c r="Q55" s="81">
        <f t="shared" si="20"/>
        <v>566.63116557097942</v>
      </c>
      <c r="R55" s="44">
        <f t="shared" si="7"/>
        <v>-24.399999999999995</v>
      </c>
      <c r="S55" s="65">
        <f t="shared" si="8"/>
        <v>205.51116557097947</v>
      </c>
      <c r="T55" s="44">
        <f t="shared" si="9"/>
        <v>205.51116557097947</v>
      </c>
      <c r="U55" s="64">
        <f t="shared" si="10"/>
        <v>14.173183832481342</v>
      </c>
      <c r="V55" s="65"/>
      <c r="W55" s="65"/>
      <c r="X55" s="65"/>
      <c r="Y55" s="65"/>
      <c r="Z55" s="44"/>
      <c r="AA55" s="81">
        <f t="shared" si="21"/>
        <v>451.06739408701702</v>
      </c>
      <c r="AB55" s="44">
        <f t="shared" si="11"/>
        <v>-24.399999999999995</v>
      </c>
      <c r="AC55" s="44">
        <f t="shared" si="12"/>
        <v>89.947394087017074</v>
      </c>
      <c r="AD55" s="64">
        <f t="shared" si="13"/>
        <v>6.2032685577253153</v>
      </c>
      <c r="AE55" s="81">
        <f t="shared" si="22"/>
        <v>319.35774913939878</v>
      </c>
      <c r="AF55" s="82">
        <f t="shared" si="14"/>
        <v>-24.399999999999995</v>
      </c>
      <c r="AG55" s="44">
        <f t="shared" si="15"/>
        <v>-41.762250860601171</v>
      </c>
      <c r="AH55" s="64">
        <f t="shared" si="16"/>
        <v>-2.8801552317655981</v>
      </c>
      <c r="AI55" s="62"/>
      <c r="AK55" s="21"/>
      <c r="AL55" s="98">
        <v>2.8278949999999998</v>
      </c>
      <c r="AM55" s="87"/>
    </row>
    <row r="56" spans="2:39" s="3" customFormat="1" x14ac:dyDescent="0.3">
      <c r="B56" s="1"/>
      <c r="C56" s="1"/>
      <c r="D56" s="1"/>
      <c r="F56" s="1"/>
      <c r="I56" s="90">
        <v>16000</v>
      </c>
      <c r="J56" s="29">
        <f t="shared" si="3"/>
        <v>9.9419637863969079</v>
      </c>
      <c r="K56" s="29">
        <f t="shared" si="18"/>
        <v>170.60409857457097</v>
      </c>
      <c r="L56" s="97">
        <v>288</v>
      </c>
      <c r="M56" s="58">
        <f t="shared" si="17"/>
        <v>-0.3</v>
      </c>
      <c r="N56" s="44">
        <f t="shared" si="19"/>
        <v>-24.699999999999996</v>
      </c>
      <c r="O56" s="44">
        <f t="shared" si="4"/>
        <v>-194.95590142542898</v>
      </c>
      <c r="P56" s="54">
        <f t="shared" si="5"/>
        <v>-13.445234581064067</v>
      </c>
      <c r="Q56" s="81">
        <f t="shared" si="20"/>
        <v>584.90959026681742</v>
      </c>
      <c r="R56" s="44">
        <f t="shared" si="7"/>
        <v>-24.699999999999996</v>
      </c>
      <c r="S56" s="65">
        <f t="shared" si="8"/>
        <v>219.34959026681747</v>
      </c>
      <c r="T56" s="44">
        <f t="shared" si="9"/>
        <v>219.34959026681747</v>
      </c>
      <c r="U56" s="64">
        <f t="shared" si="10"/>
        <v>15.127557949435687</v>
      </c>
      <c r="V56" s="65"/>
      <c r="W56" s="65"/>
      <c r="X56" s="65"/>
      <c r="Y56" s="65"/>
      <c r="Z56" s="44"/>
      <c r="AA56" s="81">
        <f t="shared" si="21"/>
        <v>465.61795518659824</v>
      </c>
      <c r="AB56" s="44">
        <f t="shared" si="11"/>
        <v>-24.699999999999996</v>
      </c>
      <c r="AC56" s="44">
        <f t="shared" si="12"/>
        <v>100.05795518659829</v>
      </c>
      <c r="AD56" s="64">
        <f t="shared" si="13"/>
        <v>6.9005486335585031</v>
      </c>
      <c r="AE56" s="81">
        <f t="shared" si="22"/>
        <v>329.65961201486323</v>
      </c>
      <c r="AF56" s="82">
        <f t="shared" si="14"/>
        <v>-24.699999999999996</v>
      </c>
      <c r="AG56" s="44">
        <f t="shared" si="15"/>
        <v>-35.900387985136717</v>
      </c>
      <c r="AH56" s="64">
        <f t="shared" si="16"/>
        <v>-2.4758888265611527</v>
      </c>
      <c r="AI56" s="62"/>
      <c r="AK56" s="21"/>
      <c r="AL56" s="97">
        <v>3.1956579999999999</v>
      </c>
      <c r="AM56" s="87"/>
    </row>
    <row r="57" spans="2:39" s="3" customFormat="1" x14ac:dyDescent="0.3">
      <c r="B57" s="1"/>
      <c r="C57" s="1"/>
      <c r="D57" s="1"/>
      <c r="F57" s="1"/>
      <c r="I57" s="90">
        <v>16500</v>
      </c>
      <c r="J57" s="29">
        <f t="shared" si="3"/>
        <v>10.252650154721811</v>
      </c>
      <c r="K57" s="29">
        <f t="shared" si="18"/>
        <v>175.93547665502629</v>
      </c>
      <c r="L57" s="98">
        <v>287</v>
      </c>
      <c r="M57" s="58">
        <f t="shared" si="17"/>
        <v>-0.1</v>
      </c>
      <c r="N57" s="44">
        <f t="shared" si="19"/>
        <v>-24.799999999999997</v>
      </c>
      <c r="O57" s="44">
        <f t="shared" si="4"/>
        <v>-191.10452334497367</v>
      </c>
      <c r="P57" s="54">
        <f t="shared" si="5"/>
        <v>-13.179622299653357</v>
      </c>
      <c r="Q57" s="81">
        <f t="shared" si="20"/>
        <v>603.18801496265542</v>
      </c>
      <c r="R57" s="44">
        <f t="shared" si="7"/>
        <v>-24.799999999999997</v>
      </c>
      <c r="S57" s="65">
        <f t="shared" si="8"/>
        <v>236.14801496265545</v>
      </c>
      <c r="T57" s="44">
        <f t="shared" si="9"/>
        <v>236.14801496265545</v>
      </c>
      <c r="U57" s="64">
        <f t="shared" si="10"/>
        <v>16.286069997424512</v>
      </c>
      <c r="V57" s="65"/>
      <c r="W57" s="65"/>
      <c r="X57" s="65"/>
      <c r="Y57" s="65"/>
      <c r="Z57" s="44"/>
      <c r="AA57" s="81">
        <f t="shared" si="21"/>
        <v>480.1685162861794</v>
      </c>
      <c r="AB57" s="44">
        <f t="shared" si="11"/>
        <v>-24.799999999999997</v>
      </c>
      <c r="AC57" s="44">
        <f t="shared" si="12"/>
        <v>113.12851628617943</v>
      </c>
      <c r="AD57" s="64">
        <f t="shared" si="13"/>
        <v>7.8019666404261674</v>
      </c>
      <c r="AE57" s="81">
        <f t="shared" si="22"/>
        <v>339.96147489032768</v>
      </c>
      <c r="AF57" s="82">
        <f t="shared" si="14"/>
        <v>-24.799999999999997</v>
      </c>
      <c r="AG57" s="44">
        <f t="shared" si="15"/>
        <v>-27.078525109672285</v>
      </c>
      <c r="AH57" s="64">
        <f t="shared" si="16"/>
        <v>-1.8674844903222265</v>
      </c>
      <c r="AI57" s="62"/>
      <c r="AK57" s="21">
        <v>16300</v>
      </c>
      <c r="AL57" s="98">
        <v>3.7144689999999998</v>
      </c>
      <c r="AM57" s="87"/>
    </row>
    <row r="58" spans="2:39" s="3" customFormat="1" x14ac:dyDescent="0.3">
      <c r="B58" s="1"/>
      <c r="C58" s="1"/>
      <c r="D58" s="1"/>
      <c r="F58" s="1"/>
      <c r="I58" s="90">
        <v>17000</v>
      </c>
      <c r="J58" s="29">
        <f t="shared" si="3"/>
        <v>10.563336523046715</v>
      </c>
      <c r="K58" s="29">
        <f t="shared" si="18"/>
        <v>181.26685473548162</v>
      </c>
      <c r="L58" s="97">
        <v>285</v>
      </c>
      <c r="M58" s="58">
        <f t="shared" si="17"/>
        <v>-0.2</v>
      </c>
      <c r="N58" s="44">
        <f t="shared" si="19"/>
        <v>-24.999999999999996</v>
      </c>
      <c r="O58" s="44">
        <f t="shared" si="4"/>
        <v>-188.73314526451833</v>
      </c>
      <c r="P58" s="54">
        <f t="shared" si="5"/>
        <v>-13.016078983759884</v>
      </c>
      <c r="Q58" s="81">
        <f t="shared" si="20"/>
        <v>621.46643965849353</v>
      </c>
      <c r="R58" s="44">
        <f t="shared" si="7"/>
        <v>-24.999999999999996</v>
      </c>
      <c r="S58" s="65">
        <f t="shared" si="8"/>
        <v>251.46643965849358</v>
      </c>
      <c r="T58" s="44">
        <f t="shared" si="9"/>
        <v>251.46643965849358</v>
      </c>
      <c r="U58" s="64">
        <f t="shared" si="10"/>
        <v>17.342513079896108</v>
      </c>
      <c r="V58" s="65"/>
      <c r="W58" s="65"/>
      <c r="X58" s="65"/>
      <c r="Y58" s="65"/>
      <c r="Z58" s="44"/>
      <c r="AA58" s="81">
        <f t="shared" si="21"/>
        <v>494.71907738576061</v>
      </c>
      <c r="AB58" s="44">
        <f t="shared" si="11"/>
        <v>-24.999999999999996</v>
      </c>
      <c r="AC58" s="44">
        <f t="shared" si="12"/>
        <v>124.71907738576067</v>
      </c>
      <c r="AD58" s="64">
        <f t="shared" si="13"/>
        <v>8.6013156817765974</v>
      </c>
      <c r="AE58" s="81">
        <f t="shared" si="22"/>
        <v>350.26333776579219</v>
      </c>
      <c r="AF58" s="82">
        <f t="shared" si="14"/>
        <v>-24.999999999999996</v>
      </c>
      <c r="AG58" s="44">
        <f t="shared" si="15"/>
        <v>-19.736662234207756</v>
      </c>
      <c r="AH58" s="64">
        <f t="shared" si="16"/>
        <v>-1.361149119600535</v>
      </c>
      <c r="AI58" s="62"/>
      <c r="AK58" s="21"/>
      <c r="AL58" s="97">
        <v>4.0621400000000003</v>
      </c>
      <c r="AM58" s="87"/>
    </row>
    <row r="59" spans="2:39" s="3" customFormat="1" x14ac:dyDescent="0.3">
      <c r="B59" s="1"/>
      <c r="C59" s="1"/>
      <c r="D59" s="1"/>
      <c r="F59" s="1"/>
      <c r="I59" s="90">
        <v>17500</v>
      </c>
      <c r="J59" s="29">
        <f t="shared" si="3"/>
        <v>10.874022891371618</v>
      </c>
      <c r="K59" s="29">
        <f t="shared" si="18"/>
        <v>186.598232815937</v>
      </c>
      <c r="L59" s="98">
        <v>281</v>
      </c>
      <c r="M59" s="58">
        <f t="shared" si="17"/>
        <v>-0.4</v>
      </c>
      <c r="N59" s="44">
        <f t="shared" si="19"/>
        <v>-25.399999999999995</v>
      </c>
      <c r="O59" s="44">
        <f t="shared" si="4"/>
        <v>-189.32176718406296</v>
      </c>
      <c r="P59" s="54">
        <f t="shared" si="5"/>
        <v>-13.056673598900893</v>
      </c>
      <c r="Q59" s="81">
        <f t="shared" si="20"/>
        <v>639.74486435433164</v>
      </c>
      <c r="R59" s="44">
        <f t="shared" si="7"/>
        <v>-25.399999999999995</v>
      </c>
      <c r="S59" s="65">
        <f t="shared" si="8"/>
        <v>263.82486435433168</v>
      </c>
      <c r="T59" s="44">
        <f t="shared" si="9"/>
        <v>263.82486435433168</v>
      </c>
      <c r="U59" s="64">
        <f t="shared" si="10"/>
        <v>18.194818231333219</v>
      </c>
      <c r="V59" s="65"/>
      <c r="W59" s="65"/>
      <c r="X59" s="65"/>
      <c r="Y59" s="65"/>
      <c r="Z59" s="44"/>
      <c r="AA59" s="81">
        <f t="shared" si="21"/>
        <v>509.26963848534189</v>
      </c>
      <c r="AB59" s="44">
        <f t="shared" si="11"/>
        <v>-25.399999999999995</v>
      </c>
      <c r="AC59" s="44">
        <f t="shared" si="12"/>
        <v>133.34963848534193</v>
      </c>
      <c r="AD59" s="64">
        <f t="shared" si="13"/>
        <v>9.1965267920925466</v>
      </c>
      <c r="AE59" s="81">
        <f t="shared" si="22"/>
        <v>360.56520064125669</v>
      </c>
      <c r="AF59" s="82">
        <f t="shared" si="14"/>
        <v>-25.399999999999995</v>
      </c>
      <c r="AG59" s="44">
        <f t="shared" si="15"/>
        <v>-15.354799358743264</v>
      </c>
      <c r="AH59" s="64">
        <f t="shared" si="16"/>
        <v>-1.0589516799133285</v>
      </c>
      <c r="AI59" s="62"/>
      <c r="AK59" s="21"/>
      <c r="AL59" s="98">
        <v>4.2349220000000001</v>
      </c>
      <c r="AM59" s="87"/>
    </row>
    <row r="60" spans="2:39" s="3" customFormat="1" x14ac:dyDescent="0.3">
      <c r="B60" s="1"/>
      <c r="C60" s="1"/>
      <c r="D60" s="1"/>
      <c r="F60" s="1"/>
      <c r="I60" s="90">
        <v>18000</v>
      </c>
      <c r="J60" s="29">
        <f t="shared" si="3"/>
        <v>11.184709259696522</v>
      </c>
      <c r="K60" s="29">
        <f t="shared" si="18"/>
        <v>191.92961089639232</v>
      </c>
      <c r="L60" s="97">
        <v>288</v>
      </c>
      <c r="M60" s="58">
        <f t="shared" si="17"/>
        <v>0.7</v>
      </c>
      <c r="N60" s="44">
        <f t="shared" si="19"/>
        <v>-24.699999999999996</v>
      </c>
      <c r="O60" s="44">
        <f t="shared" si="4"/>
        <v>-173.63038910360763</v>
      </c>
      <c r="P60" s="54">
        <f t="shared" si="5"/>
        <v>-11.97450959335225</v>
      </c>
      <c r="Q60" s="81">
        <f t="shared" si="20"/>
        <v>658.02328905016964</v>
      </c>
      <c r="R60" s="44">
        <f t="shared" si="7"/>
        <v>-24.699999999999996</v>
      </c>
      <c r="S60" s="65">
        <f t="shared" si="8"/>
        <v>292.46328905016969</v>
      </c>
      <c r="T60" s="44">
        <f t="shared" si="9"/>
        <v>292.46328905016969</v>
      </c>
      <c r="U60" s="64">
        <f t="shared" si="10"/>
        <v>20.169882003459978</v>
      </c>
      <c r="V60" s="65"/>
      <c r="W60" s="65"/>
      <c r="X60" s="65"/>
      <c r="Y60" s="65"/>
      <c r="Z60" s="44"/>
      <c r="AA60" s="81">
        <f t="shared" si="21"/>
        <v>523.82019958492299</v>
      </c>
      <c r="AB60" s="44">
        <f t="shared" si="11"/>
        <v>-24.699999999999996</v>
      </c>
      <c r="AC60" s="44">
        <f t="shared" si="12"/>
        <v>158.26019958492304</v>
      </c>
      <c r="AD60" s="64">
        <f t="shared" si="13"/>
        <v>10.914496523098141</v>
      </c>
      <c r="AE60" s="81">
        <f t="shared" si="22"/>
        <v>370.86706351672115</v>
      </c>
      <c r="AF60" s="82">
        <f t="shared" si="14"/>
        <v>-24.699999999999996</v>
      </c>
      <c r="AG60" s="44">
        <f t="shared" si="15"/>
        <v>5.3070635167212004</v>
      </c>
      <c r="AH60" s="64">
        <f t="shared" si="16"/>
        <v>0.36600438046353106</v>
      </c>
      <c r="AI60" s="62"/>
      <c r="AK60" s="21"/>
      <c r="AL60" s="97">
        <v>4.3758720000000002</v>
      </c>
      <c r="AM60" s="87"/>
    </row>
    <row r="61" spans="2:39" s="3" customFormat="1" x14ac:dyDescent="0.3">
      <c r="B61" s="1"/>
      <c r="C61" s="1"/>
      <c r="D61" s="1"/>
      <c r="F61" s="1"/>
      <c r="I61" s="90">
        <v>18500</v>
      </c>
      <c r="J61" s="29">
        <f t="shared" si="3"/>
        <v>11.495395628021425</v>
      </c>
      <c r="K61" s="29">
        <f t="shared" si="18"/>
        <v>197.2609889768477</v>
      </c>
      <c r="L61" s="98">
        <v>287</v>
      </c>
      <c r="M61" s="58">
        <f t="shared" si="17"/>
        <v>-0.1</v>
      </c>
      <c r="N61" s="44">
        <f t="shared" si="19"/>
        <v>-24.799999999999997</v>
      </c>
      <c r="O61" s="44">
        <f t="shared" si="4"/>
        <v>-169.77901102315226</v>
      </c>
      <c r="P61" s="54">
        <f t="shared" si="5"/>
        <v>-11.708897311941536</v>
      </c>
      <c r="Q61" s="81">
        <f t="shared" si="20"/>
        <v>676.30171374600775</v>
      </c>
      <c r="R61" s="44">
        <f t="shared" si="7"/>
        <v>-24.799999999999997</v>
      </c>
      <c r="S61" s="65">
        <f t="shared" si="8"/>
        <v>309.26171374600779</v>
      </c>
      <c r="T61" s="44">
        <f t="shared" si="9"/>
        <v>309.26171374600779</v>
      </c>
      <c r="U61" s="64">
        <f t="shared" si="10"/>
        <v>21.328394051448814</v>
      </c>
      <c r="V61" s="65"/>
      <c r="W61" s="65"/>
      <c r="X61" s="65"/>
      <c r="Y61" s="65"/>
      <c r="Z61" s="44"/>
      <c r="AA61" s="81">
        <f t="shared" si="21"/>
        <v>538.37076068450426</v>
      </c>
      <c r="AB61" s="44">
        <f t="shared" si="11"/>
        <v>-24.799999999999997</v>
      </c>
      <c r="AC61" s="44">
        <f t="shared" si="12"/>
        <v>171.3307606845043</v>
      </c>
      <c r="AD61" s="64">
        <f t="shared" si="13"/>
        <v>11.815914529965813</v>
      </c>
      <c r="AE61" s="81">
        <f t="shared" si="22"/>
        <v>381.16892639218565</v>
      </c>
      <c r="AF61" s="82">
        <f t="shared" si="14"/>
        <v>-24.799999999999997</v>
      </c>
      <c r="AG61" s="44">
        <f t="shared" si="15"/>
        <v>14.12892639218569</v>
      </c>
      <c r="AH61" s="64">
        <f t="shared" si="16"/>
        <v>0.97440871670246143</v>
      </c>
      <c r="AI61" s="62"/>
      <c r="AK61" s="21"/>
      <c r="AL61" s="98">
        <v>4.3974719999999996</v>
      </c>
      <c r="AM61" s="87"/>
    </row>
    <row r="62" spans="2:39" s="3" customFormat="1" x14ac:dyDescent="0.3">
      <c r="B62" s="1"/>
      <c r="C62" s="1"/>
      <c r="D62" s="1"/>
      <c r="F62" s="1"/>
      <c r="I62" s="90">
        <v>19000</v>
      </c>
      <c r="J62" s="29">
        <f t="shared" si="3"/>
        <v>11.806081996346329</v>
      </c>
      <c r="K62" s="29">
        <f t="shared" si="18"/>
        <v>202.59236705730302</v>
      </c>
      <c r="L62" s="97">
        <v>284</v>
      </c>
      <c r="M62" s="58">
        <f t="shared" si="17"/>
        <v>-0.3</v>
      </c>
      <c r="N62" s="44">
        <f t="shared" si="19"/>
        <v>-25.099999999999998</v>
      </c>
      <c r="O62" s="44">
        <f t="shared" si="4"/>
        <v>-168.88763294269694</v>
      </c>
      <c r="P62" s="54">
        <f t="shared" si="5"/>
        <v>-11.647422961565306</v>
      </c>
      <c r="Q62" s="81">
        <f t="shared" si="20"/>
        <v>694.58013844184575</v>
      </c>
      <c r="R62" s="44">
        <f t="shared" si="7"/>
        <v>-25.099999999999998</v>
      </c>
      <c r="S62" s="65">
        <f t="shared" si="8"/>
        <v>323.10013844184579</v>
      </c>
      <c r="T62" s="44">
        <f t="shared" si="9"/>
        <v>323.10013844184579</v>
      </c>
      <c r="U62" s="64">
        <f t="shared" si="10"/>
        <v>22.282768168403159</v>
      </c>
      <c r="V62" s="65"/>
      <c r="W62" s="65"/>
      <c r="X62" s="65"/>
      <c r="Y62" s="65"/>
      <c r="Z62" s="44"/>
      <c r="AA62" s="81">
        <f t="shared" si="21"/>
        <v>552.92132178408542</v>
      </c>
      <c r="AB62" s="44">
        <f t="shared" si="11"/>
        <v>-25.099999999999998</v>
      </c>
      <c r="AC62" s="44">
        <f t="shared" si="12"/>
        <v>181.44132178408546</v>
      </c>
      <c r="AD62" s="64">
        <f t="shared" si="13"/>
        <v>12.513194605798997</v>
      </c>
      <c r="AE62" s="81">
        <f t="shared" si="22"/>
        <v>391.4707892676501</v>
      </c>
      <c r="AF62" s="82">
        <f t="shared" si="14"/>
        <v>-25.099999999999998</v>
      </c>
      <c r="AG62" s="44">
        <f t="shared" si="15"/>
        <v>19.990789267650143</v>
      </c>
      <c r="AH62" s="64">
        <f t="shared" si="16"/>
        <v>1.3786751219069064</v>
      </c>
      <c r="AI62" s="72"/>
      <c r="AK62" s="21"/>
      <c r="AL62" s="97">
        <v>4.4184520000000003</v>
      </c>
      <c r="AM62" s="87"/>
    </row>
    <row r="63" spans="2:39" s="3" customFormat="1" x14ac:dyDescent="0.3">
      <c r="B63" s="1"/>
      <c r="C63" s="1"/>
      <c r="D63" s="1"/>
      <c r="F63" s="1"/>
      <c r="I63" s="90">
        <v>19500</v>
      </c>
      <c r="J63" s="29">
        <f t="shared" si="3"/>
        <v>12.116768364671232</v>
      </c>
      <c r="K63" s="29">
        <f t="shared" si="18"/>
        <v>207.92374513775835</v>
      </c>
      <c r="L63" s="98">
        <v>285</v>
      </c>
      <c r="M63" s="58">
        <f t="shared" si="17"/>
        <v>0.1</v>
      </c>
      <c r="N63" s="44">
        <f t="shared" si="19"/>
        <v>-24.999999999999996</v>
      </c>
      <c r="O63" s="44">
        <f t="shared" si="4"/>
        <v>-162.0762548622416</v>
      </c>
      <c r="P63" s="54">
        <f t="shared" si="5"/>
        <v>-11.177672749120109</v>
      </c>
      <c r="Q63" s="81">
        <f t="shared" si="20"/>
        <v>712.85856313768375</v>
      </c>
      <c r="R63" s="44">
        <f t="shared" si="7"/>
        <v>-24.999999999999996</v>
      </c>
      <c r="S63" s="65">
        <f t="shared" si="8"/>
        <v>342.8585631376838</v>
      </c>
      <c r="T63" s="44">
        <f t="shared" si="9"/>
        <v>342.8585631376838</v>
      </c>
      <c r="U63" s="64">
        <f t="shared" si="10"/>
        <v>23.645418147426469</v>
      </c>
      <c r="V63" s="65"/>
      <c r="W63" s="65"/>
      <c r="X63" s="65"/>
      <c r="Y63" s="65"/>
      <c r="Z63" s="44"/>
      <c r="AA63" s="81">
        <f t="shared" si="21"/>
        <v>567.47188288366658</v>
      </c>
      <c r="AB63" s="44">
        <f t="shared" si="11"/>
        <v>-24.999999999999996</v>
      </c>
      <c r="AC63" s="44">
        <f t="shared" si="12"/>
        <v>197.47188288366664</v>
      </c>
      <c r="AD63" s="64">
        <f t="shared" si="13"/>
        <v>13.618750543701147</v>
      </c>
      <c r="AE63" s="81">
        <f t="shared" si="22"/>
        <v>401.77265214311461</v>
      </c>
      <c r="AF63" s="82">
        <f t="shared" si="14"/>
        <v>-24.999999999999996</v>
      </c>
      <c r="AG63" s="44">
        <f t="shared" si="15"/>
        <v>31.772652143114669</v>
      </c>
      <c r="AH63" s="64">
        <f t="shared" si="16"/>
        <v>2.1912173891803222</v>
      </c>
      <c r="AI63" s="62"/>
      <c r="AK63" s="21"/>
      <c r="AL63" s="98">
        <v>4.429284</v>
      </c>
      <c r="AM63" s="87"/>
    </row>
    <row r="64" spans="2:39" s="3" customFormat="1" x14ac:dyDescent="0.3">
      <c r="B64" s="1"/>
      <c r="C64" s="1"/>
      <c r="D64" s="1"/>
      <c r="F64" s="1"/>
      <c r="I64" s="90">
        <v>20000</v>
      </c>
      <c r="J64" s="29">
        <f t="shared" si="3"/>
        <v>12.427454732996136</v>
      </c>
      <c r="K64" s="29">
        <f t="shared" si="18"/>
        <v>213.2551232182137</v>
      </c>
      <c r="L64" s="97">
        <v>287</v>
      </c>
      <c r="M64" s="58">
        <f t="shared" si="17"/>
        <v>0.2</v>
      </c>
      <c r="N64" s="44">
        <f t="shared" si="19"/>
        <v>-24.799999999999997</v>
      </c>
      <c r="O64" s="44">
        <f t="shared" si="4"/>
        <v>-153.78487678178627</v>
      </c>
      <c r="P64" s="54">
        <f t="shared" si="5"/>
        <v>-10.605853571157674</v>
      </c>
      <c r="Q64" s="81">
        <f t="shared" si="20"/>
        <v>731.13698783352174</v>
      </c>
      <c r="R64" s="44">
        <f t="shared" si="7"/>
        <v>-24.799999999999997</v>
      </c>
      <c r="S64" s="65">
        <f t="shared" si="8"/>
        <v>364.09698783352178</v>
      </c>
      <c r="T64" s="44">
        <f t="shared" si="9"/>
        <v>364.09698783352178</v>
      </c>
      <c r="U64" s="64">
        <f t="shared" si="10"/>
        <v>25.110137091967019</v>
      </c>
      <c r="V64" s="65"/>
      <c r="W64" s="65"/>
      <c r="X64" s="65"/>
      <c r="Y64" s="65"/>
      <c r="Z64" s="44"/>
      <c r="AA64" s="81">
        <f t="shared" si="21"/>
        <v>582.02244398324774</v>
      </c>
      <c r="AB64" s="44">
        <f t="shared" si="11"/>
        <v>-24.799999999999997</v>
      </c>
      <c r="AC64" s="44">
        <f t="shared" si="12"/>
        <v>214.98244398324778</v>
      </c>
      <c r="AD64" s="64">
        <f t="shared" si="13"/>
        <v>14.826375447120537</v>
      </c>
      <c r="AE64" s="81">
        <f t="shared" si="22"/>
        <v>412.07451501857906</v>
      </c>
      <c r="AF64" s="82">
        <f t="shared" si="14"/>
        <v>-24.799999999999997</v>
      </c>
      <c r="AG64" s="44">
        <f t="shared" si="15"/>
        <v>45.0345150185791</v>
      </c>
      <c r="AH64" s="64">
        <f t="shared" si="16"/>
        <v>3.1058286219709723</v>
      </c>
      <c r="AI64" s="62"/>
      <c r="AK64" s="21"/>
      <c r="AL64" s="97">
        <v>4.5443569999999998</v>
      </c>
      <c r="AM64" s="87"/>
    </row>
    <row r="65" spans="2:40" s="3" customFormat="1" x14ac:dyDescent="0.3">
      <c r="B65" s="1"/>
      <c r="C65" s="1"/>
      <c r="D65" s="1"/>
      <c r="F65" s="1"/>
      <c r="I65" s="90">
        <v>20500</v>
      </c>
      <c r="J65" s="29">
        <f t="shared" si="3"/>
        <v>12.738141101321039</v>
      </c>
      <c r="K65" s="29">
        <f t="shared" si="18"/>
        <v>218.58650129866905</v>
      </c>
      <c r="L65" s="98">
        <v>283</v>
      </c>
      <c r="M65" s="58">
        <f t="shared" si="17"/>
        <v>-0.4</v>
      </c>
      <c r="N65" s="44">
        <f t="shared" si="19"/>
        <v>-25.199999999999996</v>
      </c>
      <c r="O65" s="44">
        <f t="shared" si="4"/>
        <v>-154.37349870133093</v>
      </c>
      <c r="P65" s="54">
        <f t="shared" si="5"/>
        <v>-10.646448186298684</v>
      </c>
      <c r="Q65" s="81">
        <f t="shared" si="20"/>
        <v>749.41541252935997</v>
      </c>
      <c r="R65" s="44">
        <f t="shared" si="7"/>
        <v>-25.199999999999996</v>
      </c>
      <c r="S65" s="65">
        <f t="shared" si="8"/>
        <v>376.45541252935999</v>
      </c>
      <c r="T65" s="44">
        <f t="shared" si="9"/>
        <v>376.45541252935999</v>
      </c>
      <c r="U65" s="64">
        <f t="shared" si="10"/>
        <v>25.962442243404137</v>
      </c>
      <c r="V65" s="65"/>
      <c r="W65" s="65"/>
      <c r="X65" s="65"/>
      <c r="Y65" s="65"/>
      <c r="Z65" s="44"/>
      <c r="AA65" s="81">
        <f t="shared" si="21"/>
        <v>596.57300508282901</v>
      </c>
      <c r="AB65" s="44">
        <f t="shared" si="11"/>
        <v>-25.199999999999996</v>
      </c>
      <c r="AC65" s="44">
        <f t="shared" si="12"/>
        <v>223.61300508282903</v>
      </c>
      <c r="AD65" s="64">
        <f t="shared" si="13"/>
        <v>15.421586557436486</v>
      </c>
      <c r="AE65" s="81">
        <f t="shared" si="22"/>
        <v>422.37637789404357</v>
      </c>
      <c r="AF65" s="82">
        <f t="shared" si="14"/>
        <v>-25.199999999999996</v>
      </c>
      <c r="AG65" s="44">
        <f t="shared" si="15"/>
        <v>49.416377894043592</v>
      </c>
      <c r="AH65" s="64">
        <f t="shared" si="16"/>
        <v>3.4080260616581786</v>
      </c>
      <c r="AI65" s="62"/>
      <c r="AK65" s="21"/>
      <c r="AL65" s="98">
        <v>4.9345359999999996</v>
      </c>
      <c r="AM65" s="87"/>
    </row>
    <row r="66" spans="2:40" s="3" customFormat="1" x14ac:dyDescent="0.3">
      <c r="B66" s="1"/>
      <c r="C66" s="1"/>
      <c r="D66" s="1"/>
      <c r="F66" s="1"/>
      <c r="I66" s="90">
        <v>21000</v>
      </c>
      <c r="J66" s="29">
        <f t="shared" si="3"/>
        <v>13.048827469645943</v>
      </c>
      <c r="K66" s="29">
        <f t="shared" si="18"/>
        <v>223.91787937912437</v>
      </c>
      <c r="L66" s="97">
        <v>283</v>
      </c>
      <c r="M66" s="58">
        <f t="shared" si="17"/>
        <v>0</v>
      </c>
      <c r="N66" s="44">
        <f t="shared" si="19"/>
        <v>-25.199999999999996</v>
      </c>
      <c r="O66" s="44">
        <f t="shared" si="4"/>
        <v>-149.04212062087561</v>
      </c>
      <c r="P66" s="54">
        <f t="shared" si="5"/>
        <v>-10.278766939370731</v>
      </c>
      <c r="Q66" s="81">
        <f t="shared" si="20"/>
        <v>767.69383722519797</v>
      </c>
      <c r="R66" s="44">
        <f t="shared" si="7"/>
        <v>-25.199999999999996</v>
      </c>
      <c r="S66" s="65">
        <f t="shared" si="8"/>
        <v>394.73383722519799</v>
      </c>
      <c r="T66" s="44">
        <f t="shared" si="9"/>
        <v>394.73383722519799</v>
      </c>
      <c r="U66" s="64">
        <f t="shared" si="10"/>
        <v>27.223023256910206</v>
      </c>
      <c r="V66" s="65"/>
      <c r="W66" s="65"/>
      <c r="X66" s="65"/>
      <c r="Y66" s="65"/>
      <c r="Z66" s="44"/>
      <c r="AA66" s="81">
        <f t="shared" si="21"/>
        <v>611.12356618241029</v>
      </c>
      <c r="AB66" s="44">
        <f t="shared" si="11"/>
        <v>-25.199999999999996</v>
      </c>
      <c r="AC66" s="44">
        <f t="shared" si="12"/>
        <v>238.16356618241031</v>
      </c>
      <c r="AD66" s="64">
        <f t="shared" si="13"/>
        <v>16.4250735298214</v>
      </c>
      <c r="AE66" s="81">
        <f t="shared" si="22"/>
        <v>432.67824076950802</v>
      </c>
      <c r="AF66" s="82">
        <f t="shared" si="14"/>
        <v>-25.199999999999996</v>
      </c>
      <c r="AG66" s="44">
        <f t="shared" si="15"/>
        <v>59.718240769508043</v>
      </c>
      <c r="AH66" s="64">
        <f t="shared" si="16"/>
        <v>4.1184993634143474</v>
      </c>
      <c r="AI66" s="62"/>
      <c r="AK66" s="21"/>
      <c r="AL66" s="97">
        <v>4.97532</v>
      </c>
      <c r="AM66" s="87"/>
      <c r="AN66" s="3">
        <f>+N66*14.8</f>
        <v>-372.96</v>
      </c>
    </row>
    <row r="67" spans="2:40" s="3" customFormat="1" x14ac:dyDescent="0.3">
      <c r="B67" s="1"/>
      <c r="C67" s="1"/>
      <c r="D67" s="1"/>
      <c r="F67" s="1"/>
      <c r="I67" s="90">
        <v>21500</v>
      </c>
      <c r="J67" s="29">
        <f t="shared" si="3"/>
        <v>13.359513837970846</v>
      </c>
      <c r="K67" s="29">
        <f t="shared" si="18"/>
        <v>229.24925745957972</v>
      </c>
      <c r="L67" s="98">
        <v>276</v>
      </c>
      <c r="M67" s="58">
        <f t="shared" si="17"/>
        <v>-0.7</v>
      </c>
      <c r="N67" s="44">
        <f t="shared" si="19"/>
        <v>-25.899999999999995</v>
      </c>
      <c r="O67" s="44">
        <f t="shared" si="4"/>
        <v>-154.07074254042021</v>
      </c>
      <c r="P67" s="54">
        <f t="shared" si="5"/>
        <v>-10.625568451063463</v>
      </c>
      <c r="Q67" s="81">
        <f t="shared" si="20"/>
        <v>785.97226192103597</v>
      </c>
      <c r="R67" s="44">
        <f t="shared" si="7"/>
        <v>-25.899999999999995</v>
      </c>
      <c r="S67" s="65">
        <f t="shared" si="8"/>
        <v>402.65226192103603</v>
      </c>
      <c r="T67" s="44">
        <f t="shared" si="9"/>
        <v>402.65226192103603</v>
      </c>
      <c r="U67" s="64">
        <f t="shared" si="10"/>
        <v>27.769121511795589</v>
      </c>
      <c r="V67" s="65"/>
      <c r="W67" s="65"/>
      <c r="X67" s="65"/>
      <c r="Y67" s="65"/>
      <c r="Z67" s="44"/>
      <c r="AA67" s="81">
        <f t="shared" si="21"/>
        <v>625.67412728199145</v>
      </c>
      <c r="AB67" s="44">
        <f t="shared" si="11"/>
        <v>-25.899999999999995</v>
      </c>
      <c r="AC67" s="44">
        <f t="shared" si="12"/>
        <v>242.35412728199151</v>
      </c>
      <c r="AD67" s="64">
        <f t="shared" si="13"/>
        <v>16.714077743585623</v>
      </c>
      <c r="AE67" s="81">
        <f t="shared" si="22"/>
        <v>442.98010364497247</v>
      </c>
      <c r="AF67" s="82">
        <f t="shared" si="14"/>
        <v>-25.899999999999995</v>
      </c>
      <c r="AG67" s="44">
        <f t="shared" si="15"/>
        <v>59.660103644972537</v>
      </c>
      <c r="AH67" s="64">
        <f t="shared" si="16"/>
        <v>4.1144899065498297</v>
      </c>
      <c r="AI67" s="62"/>
      <c r="AK67" s="21"/>
      <c r="AL67" s="98">
        <v>4.9937630000000004</v>
      </c>
      <c r="AM67" s="87"/>
    </row>
    <row r="68" spans="2:40" s="3" customFormat="1" x14ac:dyDescent="0.3">
      <c r="B68" s="1"/>
      <c r="C68" s="1"/>
      <c r="D68" s="1"/>
      <c r="F68" s="1"/>
      <c r="I68" s="90">
        <v>22000</v>
      </c>
      <c r="J68" s="29">
        <f t="shared" si="3"/>
        <v>13.67020020629575</v>
      </c>
      <c r="K68" s="29">
        <f t="shared" si="18"/>
        <v>234.58063554003508</v>
      </c>
      <c r="L68" s="97">
        <v>274</v>
      </c>
      <c r="M68" s="58">
        <f t="shared" si="17"/>
        <v>-0.2</v>
      </c>
      <c r="N68" s="44">
        <f t="shared" si="19"/>
        <v>-26.099999999999994</v>
      </c>
      <c r="O68" s="44">
        <f t="shared" si="4"/>
        <v>-151.69936445996484</v>
      </c>
      <c r="P68" s="54">
        <f t="shared" si="5"/>
        <v>-10.46202513516999</v>
      </c>
      <c r="Q68" s="81">
        <f t="shared" si="20"/>
        <v>804.25068661687408</v>
      </c>
      <c r="R68" s="44">
        <f t="shared" si="7"/>
        <v>-26.099999999999994</v>
      </c>
      <c r="S68" s="65">
        <f t="shared" si="8"/>
        <v>417.97068661687416</v>
      </c>
      <c r="T68" s="44">
        <f t="shared" si="9"/>
        <v>417.97068661687416</v>
      </c>
      <c r="U68" s="64">
        <f t="shared" si="10"/>
        <v>28.825564594267185</v>
      </c>
      <c r="V68" s="65"/>
      <c r="W68" s="65"/>
      <c r="X68" s="65"/>
      <c r="Y68" s="65"/>
      <c r="Z68" s="44"/>
      <c r="AA68" s="81">
        <f t="shared" si="21"/>
        <v>640.22468838157272</v>
      </c>
      <c r="AB68" s="44">
        <f t="shared" si="11"/>
        <v>-26.099999999999994</v>
      </c>
      <c r="AC68" s="44">
        <f t="shared" si="12"/>
        <v>253.9446883815728</v>
      </c>
      <c r="AD68" s="64">
        <f t="shared" si="13"/>
        <v>17.513426784936055</v>
      </c>
      <c r="AE68" s="81">
        <f t="shared" si="22"/>
        <v>453.28196652043704</v>
      </c>
      <c r="AF68" s="82">
        <f t="shared" si="14"/>
        <v>-26.099999999999994</v>
      </c>
      <c r="AG68" s="44">
        <f t="shared" si="15"/>
        <v>67.001966520437122</v>
      </c>
      <c r="AH68" s="64">
        <f t="shared" si="16"/>
        <v>4.6208252772715257</v>
      </c>
      <c r="AI68" s="62"/>
      <c r="AK68" s="21"/>
      <c r="AL68" s="97">
        <v>5.0153920000000003</v>
      </c>
      <c r="AM68" s="87"/>
    </row>
    <row r="69" spans="2:40" s="3" customFormat="1" x14ac:dyDescent="0.3">
      <c r="B69" s="1"/>
      <c r="C69" s="1"/>
      <c r="D69" s="1"/>
      <c r="F69" s="1"/>
      <c r="I69" s="90">
        <v>22500</v>
      </c>
      <c r="J69" s="29">
        <f t="shared" si="3"/>
        <v>13.980886574620653</v>
      </c>
      <c r="K69" s="29">
        <f t="shared" si="18"/>
        <v>239.91201362049043</v>
      </c>
      <c r="L69" s="98">
        <v>270</v>
      </c>
      <c r="M69" s="58">
        <f t="shared" si="17"/>
        <v>-0.4</v>
      </c>
      <c r="N69" s="44">
        <f t="shared" si="19"/>
        <v>-26.499999999999993</v>
      </c>
      <c r="O69" s="44">
        <f t="shared" si="4"/>
        <v>-152.2879863795095</v>
      </c>
      <c r="P69" s="54">
        <f t="shared" si="5"/>
        <v>-10.502619750311</v>
      </c>
      <c r="Q69" s="81">
        <f t="shared" si="20"/>
        <v>822.52911131271208</v>
      </c>
      <c r="R69" s="44">
        <f t="shared" si="7"/>
        <v>-26.499999999999993</v>
      </c>
      <c r="S69" s="65">
        <f t="shared" si="8"/>
        <v>430.32911131271214</v>
      </c>
      <c r="T69" s="44">
        <f t="shared" si="9"/>
        <v>430.32911131271214</v>
      </c>
      <c r="U69" s="64">
        <f t="shared" si="10"/>
        <v>29.677869745704285</v>
      </c>
      <c r="V69" s="65"/>
      <c r="W69" s="65"/>
      <c r="X69" s="65"/>
      <c r="Y69" s="65"/>
      <c r="Z69" s="44"/>
      <c r="AA69" s="81">
        <f t="shared" si="21"/>
        <v>654.77524948115388</v>
      </c>
      <c r="AB69" s="44">
        <f t="shared" si="11"/>
        <v>-26.499999999999993</v>
      </c>
      <c r="AC69" s="44">
        <f t="shared" si="12"/>
        <v>262.57524948115395</v>
      </c>
      <c r="AD69" s="64">
        <f t="shared" si="13"/>
        <v>18.108637895251995</v>
      </c>
      <c r="AE69" s="81">
        <f t="shared" si="22"/>
        <v>463.58382939590149</v>
      </c>
      <c r="AF69" s="82">
        <f t="shared" si="14"/>
        <v>-26.499999999999993</v>
      </c>
      <c r="AG69" s="44">
        <f t="shared" si="15"/>
        <v>71.383829395901557</v>
      </c>
      <c r="AH69" s="64">
        <f t="shared" si="16"/>
        <v>4.9230227169587284</v>
      </c>
      <c r="AI69" s="62"/>
      <c r="AK69" s="21"/>
      <c r="AL69" s="98">
        <v>5.4888050000000002</v>
      </c>
      <c r="AM69" s="87"/>
    </row>
    <row r="70" spans="2:40" s="3" customFormat="1" x14ac:dyDescent="0.3">
      <c r="B70" s="1"/>
      <c r="C70" s="1"/>
      <c r="D70" s="1"/>
      <c r="F70" s="1"/>
      <c r="I70" s="90">
        <v>23000</v>
      </c>
      <c r="J70" s="29">
        <f t="shared" si="3"/>
        <v>14.291572942945557</v>
      </c>
      <c r="K70" s="29">
        <f t="shared" si="18"/>
        <v>245.24339170094578</v>
      </c>
      <c r="L70" s="97">
        <v>267</v>
      </c>
      <c r="M70" s="58">
        <f t="shared" si="17"/>
        <v>-0.3</v>
      </c>
      <c r="N70" s="44">
        <f t="shared" si="19"/>
        <v>-26.799999999999994</v>
      </c>
      <c r="O70" s="44">
        <f t="shared" si="4"/>
        <v>-151.39660829905415</v>
      </c>
      <c r="P70" s="54">
        <f t="shared" si="5"/>
        <v>-10.441145399934769</v>
      </c>
      <c r="Q70" s="81">
        <f t="shared" si="20"/>
        <v>840.80753600855019</v>
      </c>
      <c r="R70" s="44">
        <f t="shared" si="7"/>
        <v>-26.799999999999994</v>
      </c>
      <c r="S70" s="65">
        <f t="shared" si="8"/>
        <v>444.16753600855026</v>
      </c>
      <c r="T70" s="44">
        <f t="shared" si="9"/>
        <v>444.16753600855026</v>
      </c>
      <c r="U70" s="64">
        <f t="shared" si="10"/>
        <v>30.632243862658637</v>
      </c>
      <c r="V70" s="65"/>
      <c r="W70" s="65"/>
      <c r="X70" s="65"/>
      <c r="Y70" s="65"/>
      <c r="Z70" s="44"/>
      <c r="AA70" s="81">
        <f t="shared" si="21"/>
        <v>669.32581058073515</v>
      </c>
      <c r="AB70" s="44">
        <f t="shared" si="11"/>
        <v>-26.799999999999994</v>
      </c>
      <c r="AC70" s="44">
        <f t="shared" si="12"/>
        <v>272.68581058073522</v>
      </c>
      <c r="AD70" s="64">
        <f t="shared" si="13"/>
        <v>18.805917971085186</v>
      </c>
      <c r="AE70" s="81">
        <f t="shared" si="22"/>
        <v>473.885692271366</v>
      </c>
      <c r="AF70" s="82">
        <f t="shared" si="14"/>
        <v>-26.799999999999994</v>
      </c>
      <c r="AG70" s="44">
        <f t="shared" si="15"/>
        <v>77.245692271366067</v>
      </c>
      <c r="AH70" s="64">
        <f t="shared" si="16"/>
        <v>5.3272891221631768</v>
      </c>
      <c r="AI70" s="62"/>
      <c r="AK70" s="21"/>
      <c r="AL70" s="97">
        <v>5.5297020000000003</v>
      </c>
      <c r="AM70" s="87"/>
    </row>
    <row r="71" spans="2:40" s="3" customFormat="1" x14ac:dyDescent="0.3">
      <c r="B71" s="1"/>
      <c r="C71" s="1"/>
      <c r="D71" s="1"/>
      <c r="F71" s="1"/>
      <c r="I71" s="90">
        <v>23500</v>
      </c>
      <c r="J71" s="29">
        <f t="shared" si="3"/>
        <v>14.60225931127046</v>
      </c>
      <c r="K71" s="29">
        <f t="shared" si="18"/>
        <v>250.57476978140113</v>
      </c>
      <c r="L71" s="98">
        <v>268</v>
      </c>
      <c r="M71" s="58">
        <f t="shared" si="17"/>
        <v>0.1</v>
      </c>
      <c r="N71" s="44">
        <f t="shared" si="19"/>
        <v>-26.699999999999992</v>
      </c>
      <c r="O71" s="44">
        <f t="shared" si="4"/>
        <v>-144.58523021859878</v>
      </c>
      <c r="P71" s="54">
        <f t="shared" si="5"/>
        <v>-9.9713951874895717</v>
      </c>
      <c r="Q71" s="81">
        <f t="shared" si="20"/>
        <v>859.08596070438819</v>
      </c>
      <c r="R71" s="44">
        <f t="shared" si="7"/>
        <v>-26.699999999999992</v>
      </c>
      <c r="S71" s="65">
        <f t="shared" si="8"/>
        <v>463.92596070438827</v>
      </c>
      <c r="T71" s="44">
        <f t="shared" si="9"/>
        <v>463.92596070438827</v>
      </c>
      <c r="U71" s="64">
        <f t="shared" si="10"/>
        <v>31.99489384168195</v>
      </c>
      <c r="V71" s="65"/>
      <c r="W71" s="65"/>
      <c r="X71" s="65"/>
      <c r="Y71" s="65"/>
      <c r="Z71" s="44"/>
      <c r="AA71" s="81">
        <f t="shared" si="21"/>
        <v>683.87637168031631</v>
      </c>
      <c r="AB71" s="44">
        <f t="shared" si="11"/>
        <v>-26.699999999999992</v>
      </c>
      <c r="AC71" s="44">
        <f t="shared" si="12"/>
        <v>288.7163716803164</v>
      </c>
      <c r="AD71" s="64">
        <f t="shared" si="13"/>
        <v>19.91147390898734</v>
      </c>
      <c r="AE71" s="81">
        <f t="shared" si="22"/>
        <v>484.18755514683045</v>
      </c>
      <c r="AF71" s="82">
        <f t="shared" si="14"/>
        <v>-26.699999999999992</v>
      </c>
      <c r="AG71" s="44">
        <f t="shared" si="15"/>
        <v>89.027555146830537</v>
      </c>
      <c r="AH71" s="64">
        <f t="shared" si="16"/>
        <v>6.1398313894365888</v>
      </c>
      <c r="AI71" s="62"/>
      <c r="AK71" s="21"/>
      <c r="AL71" s="98">
        <v>5.5603199999999999</v>
      </c>
      <c r="AM71" s="87"/>
    </row>
    <row r="72" spans="2:40" s="3" customFormat="1" x14ac:dyDescent="0.3">
      <c r="B72" s="1"/>
      <c r="C72" s="1"/>
      <c r="D72" s="1"/>
      <c r="F72" s="1"/>
      <c r="I72" s="90">
        <v>24000</v>
      </c>
      <c r="J72" s="29">
        <f t="shared" si="3"/>
        <v>14.912945679595364</v>
      </c>
      <c r="K72" s="29">
        <f t="shared" si="18"/>
        <v>255.90614786185643</v>
      </c>
      <c r="L72" s="97">
        <v>267</v>
      </c>
      <c r="M72" s="58">
        <f t="shared" si="17"/>
        <v>-0.1</v>
      </c>
      <c r="N72" s="44">
        <f t="shared" si="19"/>
        <v>-26.799999999999994</v>
      </c>
      <c r="O72" s="44">
        <f t="shared" si="4"/>
        <v>-140.7338521381435</v>
      </c>
      <c r="P72" s="54">
        <f t="shared" si="5"/>
        <v>-9.7057829060788627</v>
      </c>
      <c r="Q72" s="81">
        <f t="shared" si="20"/>
        <v>877.36438540022607</v>
      </c>
      <c r="R72" s="44">
        <f t="shared" si="7"/>
        <v>-26.799999999999994</v>
      </c>
      <c r="S72" s="65">
        <f t="shared" si="8"/>
        <v>480.72438540022614</v>
      </c>
      <c r="T72" s="44">
        <f t="shared" si="9"/>
        <v>480.72438540022614</v>
      </c>
      <c r="U72" s="64">
        <f t="shared" si="10"/>
        <v>33.153405889670765</v>
      </c>
      <c r="V72" s="65"/>
      <c r="W72" s="65"/>
      <c r="X72" s="65"/>
      <c r="Y72" s="65"/>
      <c r="Z72" s="44"/>
      <c r="AA72" s="81">
        <f t="shared" si="21"/>
        <v>698.42693277989736</v>
      </c>
      <c r="AB72" s="44">
        <f t="shared" si="11"/>
        <v>-26.799999999999994</v>
      </c>
      <c r="AC72" s="44">
        <f t="shared" si="12"/>
        <v>301.78693277989743</v>
      </c>
      <c r="AD72" s="64">
        <f t="shared" si="13"/>
        <v>20.812891915854994</v>
      </c>
      <c r="AE72" s="81">
        <f t="shared" si="22"/>
        <v>494.48941802229484</v>
      </c>
      <c r="AF72" s="82">
        <f t="shared" si="14"/>
        <v>-26.799999999999994</v>
      </c>
      <c r="AG72" s="44">
        <f t="shared" si="15"/>
        <v>97.849418022294913</v>
      </c>
      <c r="AH72" s="64">
        <f t="shared" si="16"/>
        <v>6.748235725675511</v>
      </c>
      <c r="AI72" s="62"/>
      <c r="AK72" s="21"/>
      <c r="AL72" s="97">
        <v>5.6323210000000001</v>
      </c>
      <c r="AM72" s="87"/>
    </row>
    <row r="73" spans="2:40" s="3" customFormat="1" x14ac:dyDescent="0.3">
      <c r="B73" s="1"/>
      <c r="C73" s="1"/>
      <c r="D73" s="1"/>
      <c r="F73" s="1"/>
      <c r="I73" s="90">
        <v>24500</v>
      </c>
      <c r="J73" s="29">
        <f t="shared" si="3"/>
        <v>15.223632047920265</v>
      </c>
      <c r="K73" s="29">
        <f t="shared" si="18"/>
        <v>261.23752594231172</v>
      </c>
      <c r="L73" s="98">
        <v>264</v>
      </c>
      <c r="M73" s="58">
        <f t="shared" si="17"/>
        <v>-0.3</v>
      </c>
      <c r="N73" s="44">
        <f t="shared" si="19"/>
        <v>-27.099999999999994</v>
      </c>
      <c r="O73" s="44">
        <f t="shared" si="4"/>
        <v>-139.84247405768821</v>
      </c>
      <c r="P73" s="54">
        <f t="shared" si="5"/>
        <v>-9.6443085557026347</v>
      </c>
      <c r="Q73" s="81">
        <f t="shared" si="20"/>
        <v>895.64281009606418</v>
      </c>
      <c r="R73" s="44">
        <f t="shared" si="7"/>
        <v>-27.099999999999994</v>
      </c>
      <c r="S73" s="65">
        <f t="shared" si="8"/>
        <v>494.56281009606425</v>
      </c>
      <c r="T73" s="44">
        <f t="shared" si="9"/>
        <v>494.56281009606425</v>
      </c>
      <c r="U73" s="64">
        <f t="shared" si="10"/>
        <v>34.10778000662512</v>
      </c>
      <c r="V73" s="65"/>
      <c r="W73" s="65"/>
      <c r="X73" s="65"/>
      <c r="Y73" s="65"/>
      <c r="Z73" s="44"/>
      <c r="AA73" s="81">
        <f t="shared" si="21"/>
        <v>712.97749387947852</v>
      </c>
      <c r="AB73" s="44">
        <f t="shared" si="11"/>
        <v>-27.099999999999994</v>
      </c>
      <c r="AC73" s="44">
        <f t="shared" si="12"/>
        <v>311.89749387947859</v>
      </c>
      <c r="AD73" s="64">
        <f t="shared" si="13"/>
        <v>21.510171991688178</v>
      </c>
      <c r="AE73" s="81">
        <f t="shared" si="22"/>
        <v>504.79128089775929</v>
      </c>
      <c r="AF73" s="82">
        <f t="shared" si="14"/>
        <v>-27.099999999999994</v>
      </c>
      <c r="AG73" s="44">
        <f t="shared" si="15"/>
        <v>103.71128089775937</v>
      </c>
      <c r="AH73" s="64">
        <f t="shared" si="16"/>
        <v>7.1525021308799559</v>
      </c>
      <c r="AI73" s="62"/>
      <c r="AK73" s="21"/>
      <c r="AL73" s="98">
        <v>5.6826020000000002</v>
      </c>
      <c r="AM73" s="87"/>
    </row>
    <row r="74" spans="2:40" s="3" customFormat="1" x14ac:dyDescent="0.3">
      <c r="B74" s="1"/>
      <c r="C74" s="1"/>
      <c r="D74" s="1"/>
      <c r="F74" s="1"/>
      <c r="I74" s="90">
        <v>25000</v>
      </c>
      <c r="J74" s="29">
        <f t="shared" si="3"/>
        <v>15.534318416245169</v>
      </c>
      <c r="K74" s="29">
        <f t="shared" si="18"/>
        <v>266.56890402276713</v>
      </c>
      <c r="L74" s="97">
        <v>266</v>
      </c>
      <c r="M74" s="58">
        <f t="shared" si="17"/>
        <v>0.2</v>
      </c>
      <c r="N74" s="44">
        <f t="shared" si="19"/>
        <v>-26.899999999999995</v>
      </c>
      <c r="O74" s="44">
        <f t="shared" si="4"/>
        <v>-131.55109597723282</v>
      </c>
      <c r="P74" s="54">
        <f t="shared" si="5"/>
        <v>-9.0724893777401938</v>
      </c>
      <c r="Q74" s="81">
        <f t="shared" si="20"/>
        <v>913.92123479190229</v>
      </c>
      <c r="R74" s="44">
        <f t="shared" si="7"/>
        <v>-26.899999999999995</v>
      </c>
      <c r="S74" s="65">
        <f t="shared" si="8"/>
        <v>515.80123479190229</v>
      </c>
      <c r="T74" s="44">
        <f t="shared" si="9"/>
        <v>515.80123479190229</v>
      </c>
      <c r="U74" s="64">
        <f t="shared" si="10"/>
        <v>35.572498951165677</v>
      </c>
      <c r="V74" s="65"/>
      <c r="W74" s="65"/>
      <c r="X74" s="65"/>
      <c r="Y74" s="65"/>
      <c r="Z74" s="44"/>
      <c r="AA74" s="81">
        <f t="shared" si="21"/>
        <v>727.52805497905979</v>
      </c>
      <c r="AB74" s="44">
        <f t="shared" si="11"/>
        <v>-26.899999999999995</v>
      </c>
      <c r="AC74" s="44">
        <f t="shared" si="12"/>
        <v>329.40805497905984</v>
      </c>
      <c r="AD74" s="64">
        <f t="shared" si="13"/>
        <v>22.717796895107575</v>
      </c>
      <c r="AE74" s="81">
        <f t="shared" si="22"/>
        <v>515.0931437732238</v>
      </c>
      <c r="AF74" s="82">
        <f t="shared" si="14"/>
        <v>-26.899999999999995</v>
      </c>
      <c r="AG74" s="44">
        <f t="shared" si="15"/>
        <v>116.97314377322385</v>
      </c>
      <c r="AH74" s="64">
        <f t="shared" si="16"/>
        <v>8.0671133636706109</v>
      </c>
      <c r="AI74" s="62"/>
      <c r="AK74" s="21"/>
      <c r="AL74" s="97">
        <v>5.7144740000000001</v>
      </c>
      <c r="AM74" s="87"/>
    </row>
    <row r="75" spans="2:40" s="3" customFormat="1" x14ac:dyDescent="0.3">
      <c r="B75" s="1"/>
      <c r="C75" s="1"/>
      <c r="D75" s="1"/>
      <c r="F75" s="1"/>
      <c r="I75" s="90">
        <v>25500</v>
      </c>
      <c r="J75" s="29">
        <f t="shared" si="3"/>
        <v>15.845004784570072</v>
      </c>
      <c r="K75" s="29">
        <f t="shared" si="18"/>
        <v>271.90028210322242</v>
      </c>
      <c r="L75" s="98">
        <v>270</v>
      </c>
      <c r="M75" s="58">
        <f t="shared" si="17"/>
        <v>0.4</v>
      </c>
      <c r="N75" s="44">
        <f t="shared" si="19"/>
        <v>-26.499999999999996</v>
      </c>
      <c r="O75" s="44">
        <f t="shared" si="4"/>
        <v>-120.29971789677757</v>
      </c>
      <c r="P75" s="54">
        <f t="shared" si="5"/>
        <v>-8.296532268743281</v>
      </c>
      <c r="Q75" s="81">
        <f t="shared" si="20"/>
        <v>932.19965948774029</v>
      </c>
      <c r="R75" s="44">
        <f t="shared" si="7"/>
        <v>-26.499999999999996</v>
      </c>
      <c r="S75" s="65">
        <f t="shared" si="8"/>
        <v>539.99965948774025</v>
      </c>
      <c r="T75" s="44">
        <f t="shared" si="9"/>
        <v>539.99965948774025</v>
      </c>
      <c r="U75" s="64">
        <f t="shared" si="10"/>
        <v>37.241355826740708</v>
      </c>
      <c r="V75" s="65">
        <v>0</v>
      </c>
      <c r="W75" s="44">
        <f t="shared" ref="W75:W118" si="25">+($V75/1609.34)*5280/(100)*$D$39</f>
        <v>0</v>
      </c>
      <c r="X75" s="65">
        <v>0</v>
      </c>
      <c r="Y75" s="44">
        <f t="shared" ref="Y75:Y85" si="26">+W75+X75*14.8</f>
        <v>0</v>
      </c>
      <c r="Z75" s="44"/>
      <c r="AA75" s="81">
        <f t="shared" si="21"/>
        <v>742.07861607864095</v>
      </c>
      <c r="AB75" s="44">
        <f t="shared" si="11"/>
        <v>-26.499999999999996</v>
      </c>
      <c r="AC75" s="44">
        <f t="shared" si="12"/>
        <v>349.87861607864096</v>
      </c>
      <c r="AD75" s="64">
        <f t="shared" si="13"/>
        <v>24.129559729561446</v>
      </c>
      <c r="AE75" s="81">
        <f t="shared" si="22"/>
        <v>525.39500664868831</v>
      </c>
      <c r="AF75" s="82">
        <f t="shared" si="14"/>
        <v>-26.499999999999996</v>
      </c>
      <c r="AG75" s="44">
        <f t="shared" si="15"/>
        <v>133.19500664868832</v>
      </c>
      <c r="AH75" s="64">
        <f t="shared" si="16"/>
        <v>9.1858625274957468</v>
      </c>
      <c r="AI75" s="62"/>
      <c r="AK75" s="21"/>
      <c r="AL75" s="98">
        <v>5.747789</v>
      </c>
      <c r="AM75" s="87"/>
    </row>
    <row r="76" spans="2:40" s="3" customFormat="1" x14ac:dyDescent="0.3">
      <c r="B76" s="1"/>
      <c r="C76" s="1"/>
      <c r="D76" s="1"/>
      <c r="F76" s="1"/>
      <c r="I76" s="90">
        <v>26000</v>
      </c>
      <c r="J76" s="29">
        <f t="shared" si="3"/>
        <v>16.155691152894978</v>
      </c>
      <c r="K76" s="29">
        <f t="shared" si="18"/>
        <v>277.23166018367783</v>
      </c>
      <c r="L76" s="97">
        <v>268</v>
      </c>
      <c r="M76" s="58">
        <f t="shared" si="17"/>
        <v>-0.2</v>
      </c>
      <c r="N76" s="44">
        <f t="shared" si="19"/>
        <v>-26.699999999999996</v>
      </c>
      <c r="O76" s="44">
        <f t="shared" si="4"/>
        <v>-117.92833981632214</v>
      </c>
      <c r="P76" s="54">
        <f t="shared" si="5"/>
        <v>-8.1329889528498018</v>
      </c>
      <c r="Q76" s="81">
        <f t="shared" si="20"/>
        <v>950.4780841835784</v>
      </c>
      <c r="R76" s="44">
        <f t="shared" si="7"/>
        <v>-26.699999999999996</v>
      </c>
      <c r="S76" s="65">
        <f t="shared" si="8"/>
        <v>555.31808418357843</v>
      </c>
      <c r="T76" s="44">
        <f t="shared" si="9"/>
        <v>555.31808418357843</v>
      </c>
      <c r="U76" s="64">
        <f t="shared" si="10"/>
        <v>38.297798909212304</v>
      </c>
      <c r="V76" s="65">
        <v>100</v>
      </c>
      <c r="W76" s="44">
        <f t="shared" si="25"/>
        <v>1.2368797146656396</v>
      </c>
      <c r="X76" s="44">
        <f t="shared" ref="X76:X85" si="27">+X75+M76</f>
        <v>-0.2</v>
      </c>
      <c r="Y76" s="44">
        <f t="shared" si="26"/>
        <v>-1.7231202853343608</v>
      </c>
      <c r="Z76" s="44"/>
      <c r="AA76" s="81">
        <f t="shared" si="21"/>
        <v>756.62917717822222</v>
      </c>
      <c r="AB76" s="44">
        <f t="shared" si="11"/>
        <v>-26.699999999999996</v>
      </c>
      <c r="AC76" s="44">
        <f t="shared" si="12"/>
        <v>361.46917717822225</v>
      </c>
      <c r="AD76" s="64">
        <f t="shared" si="13"/>
        <v>24.928908770911878</v>
      </c>
      <c r="AE76" s="81">
        <f t="shared" si="22"/>
        <v>535.69686952415282</v>
      </c>
      <c r="AF76" s="82">
        <f t="shared" si="14"/>
        <v>-26.699999999999996</v>
      </c>
      <c r="AG76" s="44">
        <f t="shared" si="15"/>
        <v>140.53686952415285</v>
      </c>
      <c r="AH76" s="64">
        <f t="shared" si="16"/>
        <v>9.6921978982174384</v>
      </c>
      <c r="AI76" s="62"/>
      <c r="AK76" s="21"/>
      <c r="AL76" s="97">
        <v>5.8537699999999999</v>
      </c>
      <c r="AM76" s="87"/>
    </row>
    <row r="77" spans="2:40" s="3" customFormat="1" x14ac:dyDescent="0.3">
      <c r="B77" s="1"/>
      <c r="C77" s="1"/>
      <c r="D77" s="1"/>
      <c r="F77" s="1"/>
      <c r="I77" s="90">
        <v>26500</v>
      </c>
      <c r="J77" s="29">
        <f t="shared" si="3"/>
        <v>16.466377521219879</v>
      </c>
      <c r="K77" s="29">
        <f t="shared" si="18"/>
        <v>282.56303826413313</v>
      </c>
      <c r="L77" s="98">
        <v>267</v>
      </c>
      <c r="M77" s="58">
        <f t="shared" si="17"/>
        <v>-0.1</v>
      </c>
      <c r="N77" s="44">
        <f t="shared" si="19"/>
        <v>-26.799999999999997</v>
      </c>
      <c r="O77" s="44">
        <f t="shared" si="4"/>
        <v>-114.07696173586686</v>
      </c>
      <c r="P77" s="54">
        <f t="shared" si="5"/>
        <v>-7.8673766714390938</v>
      </c>
      <c r="Q77" s="81">
        <f t="shared" si="20"/>
        <v>968.7565088794164</v>
      </c>
      <c r="R77" s="44">
        <f t="shared" si="7"/>
        <v>-26.799999999999997</v>
      </c>
      <c r="S77" s="65">
        <f t="shared" si="8"/>
        <v>572.11650887941641</v>
      </c>
      <c r="T77" s="44">
        <f t="shared" si="9"/>
        <v>572.11650887941641</v>
      </c>
      <c r="U77" s="64">
        <f t="shared" si="10"/>
        <v>39.456310957201133</v>
      </c>
      <c r="V77" s="65">
        <v>200</v>
      </c>
      <c r="W77" s="44">
        <f t="shared" si="25"/>
        <v>2.4737594293312792</v>
      </c>
      <c r="X77" s="44">
        <f t="shared" si="27"/>
        <v>-0.30000000000000004</v>
      </c>
      <c r="Y77" s="44">
        <f t="shared" si="26"/>
        <v>-1.966240570668722</v>
      </c>
      <c r="Z77" s="44"/>
      <c r="AA77" s="81">
        <f t="shared" si="21"/>
        <v>771.17973827780338</v>
      </c>
      <c r="AB77" s="44">
        <f t="shared" si="11"/>
        <v>-26.799999999999997</v>
      </c>
      <c r="AC77" s="44">
        <f t="shared" si="12"/>
        <v>374.53973827780339</v>
      </c>
      <c r="AD77" s="64">
        <f t="shared" si="13"/>
        <v>25.830326777779543</v>
      </c>
      <c r="AE77" s="81">
        <f t="shared" si="22"/>
        <v>545.99873239961721</v>
      </c>
      <c r="AF77" s="82">
        <f t="shared" si="14"/>
        <v>-26.799999999999997</v>
      </c>
      <c r="AG77" s="44">
        <f t="shared" si="15"/>
        <v>149.35873239961722</v>
      </c>
      <c r="AH77" s="64">
        <f t="shared" si="16"/>
        <v>10.30060223445636</v>
      </c>
      <c r="AI77" s="62"/>
      <c r="AK77" s="21"/>
      <c r="AL77" s="98">
        <v>5.8987340000000001</v>
      </c>
      <c r="AM77" s="87"/>
    </row>
    <row r="78" spans="2:40" s="3" customFormat="1" x14ac:dyDescent="0.3">
      <c r="B78" s="1">
        <v>57.466666666666598</v>
      </c>
      <c r="C78" s="1">
        <f t="shared" ref="C78:C95" si="28">+B78*0.156*60*24</f>
        <v>12909.311999999984</v>
      </c>
      <c r="D78" s="5">
        <v>0.55289999999999995</v>
      </c>
      <c r="E78" s="10">
        <v>1.34335714285714</v>
      </c>
      <c r="F78" s="1">
        <v>80</v>
      </c>
      <c r="G78" s="1">
        <v>12</v>
      </c>
      <c r="H78" s="1"/>
      <c r="I78" s="90">
        <v>27000</v>
      </c>
      <c r="J78" s="29">
        <f t="shared" si="3"/>
        <v>16.777063889544785</v>
      </c>
      <c r="K78" s="29">
        <f t="shared" si="18"/>
        <v>287.89441634458854</v>
      </c>
      <c r="L78" s="97">
        <v>273</v>
      </c>
      <c r="M78" s="58">
        <f t="shared" si="17"/>
        <v>0.6</v>
      </c>
      <c r="N78" s="44">
        <f t="shared" si="19"/>
        <v>-26.199999999999996</v>
      </c>
      <c r="O78" s="44">
        <f t="shared" si="4"/>
        <v>-99.865583655411399</v>
      </c>
      <c r="P78" s="54">
        <f t="shared" si="5"/>
        <v>-6.8872816314076823</v>
      </c>
      <c r="Q78" s="81">
        <f t="shared" si="20"/>
        <v>987.03493357525451</v>
      </c>
      <c r="R78" s="44">
        <f t="shared" si="7"/>
        <v>-26.199999999999996</v>
      </c>
      <c r="S78" s="65">
        <f t="shared" si="8"/>
        <v>599.27493357525464</v>
      </c>
      <c r="T78" s="44">
        <f t="shared" si="9"/>
        <v>599.27493357525464</v>
      </c>
      <c r="U78" s="64">
        <f t="shared" si="10"/>
        <v>41.329305763810666</v>
      </c>
      <c r="V78" s="65">
        <v>300</v>
      </c>
      <c r="W78" s="44">
        <f t="shared" si="25"/>
        <v>3.710639143996918</v>
      </c>
      <c r="X78" s="44">
        <f t="shared" si="27"/>
        <v>0.29999999999999993</v>
      </c>
      <c r="Y78" s="44">
        <f t="shared" si="26"/>
        <v>8.1506391439969175</v>
      </c>
      <c r="Z78" s="44"/>
      <c r="AA78" s="81">
        <f t="shared" si="21"/>
        <v>785.73029937738465</v>
      </c>
      <c r="AB78" s="44">
        <f t="shared" si="11"/>
        <v>-26.199999999999996</v>
      </c>
      <c r="AC78" s="44">
        <f t="shared" si="12"/>
        <v>397.97029937738472</v>
      </c>
      <c r="AD78" s="64">
        <f t="shared" si="13"/>
        <v>27.446227543267913</v>
      </c>
      <c r="AE78" s="81">
        <f t="shared" si="22"/>
        <v>556.30059527508183</v>
      </c>
      <c r="AF78" s="82">
        <f t="shared" si="14"/>
        <v>-26.199999999999996</v>
      </c>
      <c r="AG78" s="44">
        <f t="shared" si="15"/>
        <v>168.5405952750819</v>
      </c>
      <c r="AH78" s="64">
        <f t="shared" si="16"/>
        <v>11.623489329315992</v>
      </c>
      <c r="AI78" s="62"/>
      <c r="AK78" s="21"/>
      <c r="AL78" s="97">
        <v>5.9240680000000001</v>
      </c>
      <c r="AM78" s="87"/>
    </row>
    <row r="79" spans="2:40" s="3" customFormat="1" x14ac:dyDescent="0.3">
      <c r="B79" s="1">
        <v>59.786147186147097</v>
      </c>
      <c r="C79" s="1">
        <f t="shared" si="28"/>
        <v>13430.360103896084</v>
      </c>
      <c r="D79" s="5">
        <v>0.58244935064935</v>
      </c>
      <c r="E79" s="10">
        <v>1.41576623376623</v>
      </c>
      <c r="F79" s="1">
        <v>90</v>
      </c>
      <c r="G79" s="1">
        <v>14</v>
      </c>
      <c r="H79" s="1"/>
      <c r="I79" s="90">
        <v>27500</v>
      </c>
      <c r="J79" s="29">
        <f t="shared" si="3"/>
        <v>17.087750257869686</v>
      </c>
      <c r="K79" s="29">
        <f t="shared" si="18"/>
        <v>293.22579442504383</v>
      </c>
      <c r="L79" s="98">
        <v>280</v>
      </c>
      <c r="M79" s="58">
        <f t="shared" si="17"/>
        <v>0.7</v>
      </c>
      <c r="N79" s="44">
        <f t="shared" si="19"/>
        <v>-25.499999999999996</v>
      </c>
      <c r="O79" s="44">
        <f t="shared" si="4"/>
        <v>-84.174205574956147</v>
      </c>
      <c r="P79" s="54">
        <f t="shared" si="5"/>
        <v>-5.8051176258590447</v>
      </c>
      <c r="Q79" s="81">
        <f t="shared" si="20"/>
        <v>1005.3133582710926</v>
      </c>
      <c r="R79" s="44">
        <f t="shared" si="7"/>
        <v>-25.499999999999996</v>
      </c>
      <c r="S79" s="65">
        <f t="shared" si="8"/>
        <v>627.91335827109265</v>
      </c>
      <c r="T79" s="44">
        <f t="shared" si="9"/>
        <v>627.91335827109265</v>
      </c>
      <c r="U79" s="64">
        <f t="shared" si="10"/>
        <v>43.304369535937425</v>
      </c>
      <c r="V79" s="65">
        <v>400</v>
      </c>
      <c r="W79" s="44">
        <f t="shared" si="25"/>
        <v>4.9475188586625585</v>
      </c>
      <c r="X79" s="44">
        <f t="shared" si="27"/>
        <v>0.99999999999999989</v>
      </c>
      <c r="Y79" s="44">
        <f t="shared" si="26"/>
        <v>19.747518858662559</v>
      </c>
      <c r="Z79" s="44"/>
      <c r="AA79" s="81">
        <f t="shared" si="21"/>
        <v>800.28086047696581</v>
      </c>
      <c r="AB79" s="44">
        <f t="shared" si="11"/>
        <v>-25.499999999999996</v>
      </c>
      <c r="AC79" s="44">
        <f t="shared" si="12"/>
        <v>422.88086047696584</v>
      </c>
      <c r="AD79" s="64">
        <f t="shared" si="13"/>
        <v>29.164197274273505</v>
      </c>
      <c r="AE79" s="81">
        <f t="shared" si="22"/>
        <v>566.60245815054623</v>
      </c>
      <c r="AF79" s="82">
        <f t="shared" si="14"/>
        <v>-25.499999999999996</v>
      </c>
      <c r="AG79" s="44">
        <f t="shared" si="15"/>
        <v>189.20245815054625</v>
      </c>
      <c r="AH79" s="64">
        <f t="shared" si="16"/>
        <v>13.048445389692844</v>
      </c>
      <c r="AI79" s="62"/>
      <c r="AK79" s="21"/>
      <c r="AL79" s="98">
        <v>5.9428929999999998</v>
      </c>
      <c r="AM79" s="87"/>
    </row>
    <row r="80" spans="2:40" s="3" customFormat="1" x14ac:dyDescent="0.3">
      <c r="B80" s="1">
        <v>62.105627705627803</v>
      </c>
      <c r="C80" s="1">
        <f t="shared" si="28"/>
        <v>13951.408207792228</v>
      </c>
      <c r="D80" s="5">
        <v>0.61199870129870104</v>
      </c>
      <c r="E80" s="10">
        <v>1.48817532467532</v>
      </c>
      <c r="F80" s="1"/>
      <c r="I80" s="90">
        <v>28000</v>
      </c>
      <c r="J80" s="29">
        <f t="shared" si="3"/>
        <v>17.398436626194592</v>
      </c>
      <c r="K80" s="29">
        <f t="shared" si="18"/>
        <v>298.55717250549924</v>
      </c>
      <c r="L80" s="97">
        <v>288</v>
      </c>
      <c r="M80" s="58">
        <f t="shared" si="17"/>
        <v>0.8</v>
      </c>
      <c r="N80" s="44">
        <f t="shared" si="19"/>
        <v>-24.699999999999996</v>
      </c>
      <c r="O80" s="44">
        <f t="shared" si="4"/>
        <v>-67.002827494500707</v>
      </c>
      <c r="P80" s="54">
        <f t="shared" si="5"/>
        <v>-4.6208846547931524</v>
      </c>
      <c r="Q80" s="81">
        <f t="shared" si="20"/>
        <v>1023.5917829669307</v>
      </c>
      <c r="R80" s="44">
        <f t="shared" si="7"/>
        <v>-24.699999999999996</v>
      </c>
      <c r="S80" s="65">
        <f t="shared" si="8"/>
        <v>658.03178296693079</v>
      </c>
      <c r="T80" s="44">
        <f t="shared" si="9"/>
        <v>658.03178296693079</v>
      </c>
      <c r="U80" s="64">
        <f t="shared" si="10"/>
        <v>45.381502273581432</v>
      </c>
      <c r="V80" s="65">
        <v>500</v>
      </c>
      <c r="W80" s="44">
        <f t="shared" si="25"/>
        <v>6.1843985733281972</v>
      </c>
      <c r="X80" s="44">
        <f t="shared" si="27"/>
        <v>1.7999999999999998</v>
      </c>
      <c r="Y80" s="44">
        <f t="shared" si="26"/>
        <v>32.824398573328196</v>
      </c>
      <c r="Z80" s="44"/>
      <c r="AA80" s="81">
        <f t="shared" si="21"/>
        <v>814.83142157654709</v>
      </c>
      <c r="AB80" s="44">
        <f t="shared" si="11"/>
        <v>-24.699999999999996</v>
      </c>
      <c r="AC80" s="44">
        <f t="shared" si="12"/>
        <v>449.27142157654714</v>
      </c>
      <c r="AD80" s="64">
        <f t="shared" si="13"/>
        <v>30.984235970796355</v>
      </c>
      <c r="AE80" s="81">
        <f t="shared" si="22"/>
        <v>576.90432102601073</v>
      </c>
      <c r="AF80" s="82">
        <f t="shared" si="14"/>
        <v>-24.699999999999996</v>
      </c>
      <c r="AG80" s="44">
        <f t="shared" si="15"/>
        <v>211.34432102601079</v>
      </c>
      <c r="AH80" s="64">
        <f t="shared" si="16"/>
        <v>14.575470415586951</v>
      </c>
      <c r="AI80" s="62"/>
      <c r="AK80" s="21"/>
      <c r="AL80" s="97">
        <v>5.9876300000000002</v>
      </c>
      <c r="AM80" s="87"/>
    </row>
    <row r="81" spans="2:40" s="3" customFormat="1" x14ac:dyDescent="0.3">
      <c r="B81" s="1">
        <v>64.425108225108303</v>
      </c>
      <c r="C81" s="1">
        <f t="shared" si="28"/>
        <v>14472.456311688329</v>
      </c>
      <c r="D81" s="5">
        <v>0.64154805194805098</v>
      </c>
      <c r="E81" s="10">
        <v>1.56058441558441</v>
      </c>
      <c r="F81" s="1"/>
      <c r="I81" s="90">
        <v>28500</v>
      </c>
      <c r="J81" s="29">
        <f t="shared" si="3"/>
        <v>17.709122994519493</v>
      </c>
      <c r="K81" s="29">
        <f t="shared" si="18"/>
        <v>303.88855058595448</v>
      </c>
      <c r="L81" s="98">
        <v>288</v>
      </c>
      <c r="M81" s="58">
        <f t="shared" si="17"/>
        <v>0</v>
      </c>
      <c r="N81" s="44">
        <f t="shared" si="19"/>
        <v>-24.699999999999996</v>
      </c>
      <c r="O81" s="44">
        <f t="shared" si="4"/>
        <v>-61.671449414045469</v>
      </c>
      <c r="P81" s="54">
        <f t="shared" si="5"/>
        <v>-4.2532034078652048</v>
      </c>
      <c r="Q81" s="81">
        <f t="shared" si="20"/>
        <v>1041.8702076627685</v>
      </c>
      <c r="R81" s="44">
        <f t="shared" si="7"/>
        <v>-24.699999999999996</v>
      </c>
      <c r="S81" s="65">
        <f t="shared" si="8"/>
        <v>676.31020766276856</v>
      </c>
      <c r="T81" s="44">
        <f t="shared" si="9"/>
        <v>676.31020766276856</v>
      </c>
      <c r="U81" s="64">
        <f t="shared" si="10"/>
        <v>46.642083287087488</v>
      </c>
      <c r="V81" s="65">
        <v>600</v>
      </c>
      <c r="W81" s="44">
        <f t="shared" si="25"/>
        <v>7.4212782879938359</v>
      </c>
      <c r="X81" s="44">
        <f t="shared" si="27"/>
        <v>1.7999999999999998</v>
      </c>
      <c r="Y81" s="44">
        <f t="shared" si="26"/>
        <v>34.061278287993829</v>
      </c>
      <c r="Z81" s="44"/>
      <c r="AA81" s="81">
        <f t="shared" si="21"/>
        <v>829.38198267612802</v>
      </c>
      <c r="AB81" s="44">
        <f t="shared" si="11"/>
        <v>-24.699999999999996</v>
      </c>
      <c r="AC81" s="44">
        <f t="shared" si="12"/>
        <v>463.82198267612807</v>
      </c>
      <c r="AD81" s="64">
        <f t="shared" si="13"/>
        <v>31.987722943181247</v>
      </c>
      <c r="AE81" s="81">
        <f t="shared" si="22"/>
        <v>587.20618390147513</v>
      </c>
      <c r="AF81" s="82">
        <f t="shared" si="14"/>
        <v>-24.699999999999996</v>
      </c>
      <c r="AG81" s="44">
        <f t="shared" si="15"/>
        <v>221.64618390147518</v>
      </c>
      <c r="AH81" s="64">
        <f t="shared" si="16"/>
        <v>15.285943717343116</v>
      </c>
      <c r="AI81" s="62"/>
      <c r="AK81" s="21"/>
      <c r="AL81" s="98">
        <v>6.0131240000000004</v>
      </c>
      <c r="AM81" s="87"/>
    </row>
    <row r="82" spans="2:40" s="3" customFormat="1" x14ac:dyDescent="0.3">
      <c r="B82" s="1">
        <v>66.744588744588796</v>
      </c>
      <c r="C82" s="1">
        <f t="shared" si="28"/>
        <v>14993.50441558443</v>
      </c>
      <c r="D82" s="5">
        <v>0.67109740259740203</v>
      </c>
      <c r="E82" s="10">
        <v>1.6329935064934999</v>
      </c>
      <c r="F82" s="1"/>
      <c r="I82" s="90">
        <v>29000</v>
      </c>
      <c r="J82" s="29">
        <f t="shared" si="3"/>
        <v>18.019809362844398</v>
      </c>
      <c r="K82" s="29">
        <f t="shared" si="18"/>
        <v>309.21992866640988</v>
      </c>
      <c r="L82" s="97">
        <v>288</v>
      </c>
      <c r="M82" s="58">
        <f t="shared" si="17"/>
        <v>0</v>
      </c>
      <c r="N82" s="44">
        <f t="shared" si="19"/>
        <v>-24.699999999999996</v>
      </c>
      <c r="O82" s="44">
        <f t="shared" si="4"/>
        <v>-56.34007133359006</v>
      </c>
      <c r="P82" s="54">
        <f t="shared" si="5"/>
        <v>-3.8855221609372457</v>
      </c>
      <c r="Q82" s="81">
        <f t="shared" si="20"/>
        <v>1060.1486323586066</v>
      </c>
      <c r="R82" s="44">
        <f t="shared" si="7"/>
        <v>-24.699999999999996</v>
      </c>
      <c r="S82" s="65">
        <f t="shared" si="8"/>
        <v>694.58863235860667</v>
      </c>
      <c r="T82" s="44">
        <f t="shared" si="9"/>
        <v>694.58863235860667</v>
      </c>
      <c r="U82" s="64">
        <f t="shared" si="10"/>
        <v>47.902664300593564</v>
      </c>
      <c r="V82" s="65">
        <v>700</v>
      </c>
      <c r="W82" s="44">
        <f t="shared" si="25"/>
        <v>8.6581580026594764</v>
      </c>
      <c r="X82" s="44">
        <f t="shared" si="27"/>
        <v>1.7999999999999998</v>
      </c>
      <c r="Y82" s="44">
        <f t="shared" si="26"/>
        <v>35.298158002659477</v>
      </c>
      <c r="Z82" s="44"/>
      <c r="AA82" s="81">
        <f t="shared" si="21"/>
        <v>843.93254377570941</v>
      </c>
      <c r="AB82" s="44">
        <f t="shared" si="11"/>
        <v>-24.699999999999996</v>
      </c>
      <c r="AC82" s="44">
        <f t="shared" si="12"/>
        <v>478.37254377570946</v>
      </c>
      <c r="AD82" s="64">
        <f t="shared" si="13"/>
        <v>32.991209915566166</v>
      </c>
      <c r="AE82" s="81">
        <f t="shared" si="22"/>
        <v>597.50804677693964</v>
      </c>
      <c r="AF82" s="82">
        <f t="shared" si="14"/>
        <v>-24.699999999999996</v>
      </c>
      <c r="AG82" s="44">
        <f t="shared" si="15"/>
        <v>231.94804677693969</v>
      </c>
      <c r="AH82" s="64">
        <f t="shared" si="16"/>
        <v>15.996417019099288</v>
      </c>
      <c r="AI82" s="62"/>
      <c r="AK82" s="21"/>
      <c r="AL82" s="97">
        <v>6.0336369999999997</v>
      </c>
      <c r="AM82" s="87"/>
    </row>
    <row r="83" spans="2:40" s="3" customFormat="1" x14ac:dyDescent="0.3">
      <c r="B83" s="1">
        <v>69.064069264069303</v>
      </c>
      <c r="C83" s="1">
        <f t="shared" si="28"/>
        <v>15514.552519480527</v>
      </c>
      <c r="D83" s="5">
        <v>0.70064675324675296</v>
      </c>
      <c r="E83" s="10">
        <v>1.7054025974025899</v>
      </c>
      <c r="F83" s="1"/>
      <c r="I83" s="90">
        <v>29500</v>
      </c>
      <c r="J83" s="29">
        <f t="shared" si="3"/>
        <v>18.3304957311693</v>
      </c>
      <c r="K83" s="29">
        <f t="shared" si="18"/>
        <v>314.55130674686518</v>
      </c>
      <c r="L83" s="98">
        <v>296</v>
      </c>
      <c r="M83" s="58">
        <f t="shared" si="17"/>
        <v>0.8</v>
      </c>
      <c r="N83" s="44">
        <f t="shared" si="19"/>
        <v>-23.899999999999995</v>
      </c>
      <c r="O83" s="44">
        <f t="shared" si="4"/>
        <v>-39.168693253134791</v>
      </c>
      <c r="P83" s="54">
        <f t="shared" si="5"/>
        <v>-2.7012891898713649</v>
      </c>
      <c r="Q83" s="81">
        <f t="shared" si="20"/>
        <v>1078.4270570544445</v>
      </c>
      <c r="R83" s="44">
        <f t="shared" si="7"/>
        <v>-23.899999999999995</v>
      </c>
      <c r="S83" s="65">
        <f t="shared" si="8"/>
        <v>724.70705705444448</v>
      </c>
      <c r="T83" s="44">
        <f t="shared" si="9"/>
        <v>724.70705705444448</v>
      </c>
      <c r="U83" s="64">
        <f t="shared" si="10"/>
        <v>49.97979703823755</v>
      </c>
      <c r="V83" s="65">
        <v>800</v>
      </c>
      <c r="W83" s="44">
        <f t="shared" si="25"/>
        <v>9.8950377173251169</v>
      </c>
      <c r="X83" s="44">
        <f t="shared" si="27"/>
        <v>2.5999999999999996</v>
      </c>
      <c r="Y83" s="44">
        <f t="shared" si="26"/>
        <v>48.375037717325114</v>
      </c>
      <c r="Z83" s="44"/>
      <c r="AA83" s="81">
        <f t="shared" si="21"/>
        <v>858.48310487529045</v>
      </c>
      <c r="AB83" s="44">
        <f t="shared" si="11"/>
        <v>-23.899999999999995</v>
      </c>
      <c r="AC83" s="44">
        <f t="shared" si="12"/>
        <v>504.76310487529048</v>
      </c>
      <c r="AD83" s="64">
        <f t="shared" si="13"/>
        <v>34.811248612088995</v>
      </c>
      <c r="AE83" s="81">
        <f t="shared" si="22"/>
        <v>607.80990965240403</v>
      </c>
      <c r="AF83" s="82">
        <f t="shared" si="14"/>
        <v>-23.899999999999995</v>
      </c>
      <c r="AG83" s="44">
        <f t="shared" si="15"/>
        <v>254.08990965240406</v>
      </c>
      <c r="AH83" s="64">
        <f t="shared" si="16"/>
        <v>17.523442044993384</v>
      </c>
      <c r="AI83" s="62"/>
      <c r="AK83" s="21"/>
      <c r="AL83" s="98">
        <v>6.0631240000000002</v>
      </c>
      <c r="AM83" s="87"/>
    </row>
    <row r="84" spans="2:40" s="3" customFormat="1" x14ac:dyDescent="0.3">
      <c r="B84" s="1">
        <v>71.383549783549796</v>
      </c>
      <c r="C84" s="1">
        <f t="shared" si="28"/>
        <v>16035.600623376627</v>
      </c>
      <c r="D84" s="5">
        <v>0.73019610389610301</v>
      </c>
      <c r="E84" s="10">
        <v>1.7778116883116799</v>
      </c>
      <c r="F84" s="1"/>
      <c r="I84" s="90">
        <v>30000</v>
      </c>
      <c r="J84" s="29">
        <f t="shared" si="3"/>
        <v>18.641182099494202</v>
      </c>
      <c r="K84" s="29">
        <f t="shared" si="18"/>
        <v>319.88268482732053</v>
      </c>
      <c r="L84" s="97">
        <v>299</v>
      </c>
      <c r="M84" s="58">
        <f t="shared" si="17"/>
        <v>0.3</v>
      </c>
      <c r="N84" s="44">
        <f t="shared" si="19"/>
        <v>-23.599999999999994</v>
      </c>
      <c r="O84" s="44">
        <f t="shared" si="4"/>
        <v>-29.397315172679384</v>
      </c>
      <c r="P84" s="54">
        <f t="shared" si="5"/>
        <v>-2.0274010463916818</v>
      </c>
      <c r="Q84" s="81">
        <f t="shared" si="20"/>
        <v>1096.7054817502826</v>
      </c>
      <c r="R84" s="44">
        <f t="shared" si="7"/>
        <v>-23.599999999999994</v>
      </c>
      <c r="S84" s="65">
        <f t="shared" si="8"/>
        <v>747.42548175028264</v>
      </c>
      <c r="T84" s="44">
        <f t="shared" si="9"/>
        <v>747.42548175028264</v>
      </c>
      <c r="U84" s="64">
        <f t="shared" si="10"/>
        <v>51.546584948295354</v>
      </c>
      <c r="V84" s="65">
        <v>900</v>
      </c>
      <c r="W84" s="44">
        <f t="shared" si="25"/>
        <v>11.131917431990754</v>
      </c>
      <c r="X84" s="44">
        <f t="shared" si="27"/>
        <v>2.8999999999999995</v>
      </c>
      <c r="Y84" s="44">
        <f t="shared" si="26"/>
        <v>54.051917431990745</v>
      </c>
      <c r="Z84" s="44"/>
      <c r="AA84" s="81">
        <f t="shared" si="21"/>
        <v>873.03366597487161</v>
      </c>
      <c r="AB84" s="44">
        <f t="shared" si="11"/>
        <v>-23.599999999999994</v>
      </c>
      <c r="AC84" s="44">
        <f t="shared" si="12"/>
        <v>523.75366597487164</v>
      </c>
      <c r="AD84" s="64">
        <f t="shared" si="13"/>
        <v>36.120942481025629</v>
      </c>
      <c r="AE84" s="81">
        <f t="shared" si="22"/>
        <v>618.11177252786854</v>
      </c>
      <c r="AF84" s="82">
        <f t="shared" si="14"/>
        <v>-23.599999999999994</v>
      </c>
      <c r="AG84" s="44">
        <f t="shared" si="15"/>
        <v>268.83177252786862</v>
      </c>
      <c r="AH84" s="64">
        <f t="shared" si="16"/>
        <v>18.540122243301283</v>
      </c>
      <c r="AI84" s="62"/>
      <c r="AK84" s="21"/>
      <c r="AL84" s="97">
        <v>6.3459510000000003</v>
      </c>
      <c r="AM84" s="87"/>
    </row>
    <row r="85" spans="2:40" s="3" customFormat="1" x14ac:dyDescent="0.3">
      <c r="B85" s="1">
        <v>73.703030303030303</v>
      </c>
      <c r="C85" s="1">
        <f t="shared" si="28"/>
        <v>16556.648727272728</v>
      </c>
      <c r="D85" s="5">
        <v>0.75974545454545395</v>
      </c>
      <c r="E85" s="10">
        <v>1.8502207792207801</v>
      </c>
      <c r="F85" s="1"/>
      <c r="I85" s="90">
        <v>30500</v>
      </c>
      <c r="J85" s="29">
        <f t="shared" si="3"/>
        <v>18.951868467819107</v>
      </c>
      <c r="K85" s="29">
        <f t="shared" si="18"/>
        <v>325.21406290777588</v>
      </c>
      <c r="L85" s="98">
        <v>304</v>
      </c>
      <c r="M85" s="58">
        <f t="shared" si="17"/>
        <v>0.5</v>
      </c>
      <c r="N85" s="44">
        <f t="shared" si="19"/>
        <v>-23.099999999999994</v>
      </c>
      <c r="O85" s="44">
        <f t="shared" si="4"/>
        <v>-16.665937092224056</v>
      </c>
      <c r="P85" s="54">
        <f t="shared" si="5"/>
        <v>-1.149374971877521</v>
      </c>
      <c r="Q85" s="81">
        <f t="shared" si="20"/>
        <v>1114.9839064461207</v>
      </c>
      <c r="R85" s="44">
        <f t="shared" si="7"/>
        <v>-23.099999999999994</v>
      </c>
      <c r="S85" s="65">
        <f t="shared" si="8"/>
        <v>773.10390644612085</v>
      </c>
      <c r="T85" s="44">
        <f t="shared" si="9"/>
        <v>773.10390644612085</v>
      </c>
      <c r="U85" s="64">
        <f t="shared" si="10"/>
        <v>53.317510789387647</v>
      </c>
      <c r="V85" s="65">
        <v>1000</v>
      </c>
      <c r="W85" s="44">
        <f t="shared" si="25"/>
        <v>12.368797146656394</v>
      </c>
      <c r="X85" s="44">
        <f t="shared" si="27"/>
        <v>3.3999999999999995</v>
      </c>
      <c r="Y85" s="44">
        <f t="shared" si="26"/>
        <v>62.688797146656384</v>
      </c>
      <c r="Z85" s="44"/>
      <c r="AA85" s="81">
        <f t="shared" si="21"/>
        <v>887.58422707445288</v>
      </c>
      <c r="AB85" s="44">
        <f t="shared" si="11"/>
        <v>-23.099999999999994</v>
      </c>
      <c r="AC85" s="44">
        <f t="shared" si="12"/>
        <v>545.704227074453</v>
      </c>
      <c r="AD85" s="64">
        <f t="shared" si="13"/>
        <v>37.634774280996758</v>
      </c>
      <c r="AE85" s="81">
        <f t="shared" si="22"/>
        <v>628.41363540333305</v>
      </c>
      <c r="AF85" s="82">
        <f t="shared" si="14"/>
        <v>-23.099999999999994</v>
      </c>
      <c r="AG85" s="44">
        <f t="shared" si="15"/>
        <v>286.53363540333311</v>
      </c>
      <c r="AH85" s="64">
        <f t="shared" si="16"/>
        <v>19.760940372643663</v>
      </c>
      <c r="AI85" s="62"/>
      <c r="AK85" s="21"/>
      <c r="AL85" s="98">
        <v>6.3926530000000001</v>
      </c>
      <c r="AM85" s="87"/>
    </row>
    <row r="86" spans="2:40" s="3" customFormat="1" x14ac:dyDescent="0.3">
      <c r="B86" s="1">
        <v>76.022510822510895</v>
      </c>
      <c r="C86" s="1">
        <f t="shared" si="28"/>
        <v>17077.696831168847</v>
      </c>
      <c r="D86" s="5">
        <v>0.78929480519480499</v>
      </c>
      <c r="E86" s="10">
        <v>1.9226298701298701</v>
      </c>
      <c r="F86" s="1"/>
      <c r="I86" s="90">
        <v>31000</v>
      </c>
      <c r="J86" s="29">
        <f t="shared" si="3"/>
        <v>19.262554836144009</v>
      </c>
      <c r="K86" s="29">
        <f t="shared" si="18"/>
        <v>330.54544098823123</v>
      </c>
      <c r="L86" s="97">
        <v>310</v>
      </c>
      <c r="M86" s="58">
        <f t="shared" si="17"/>
        <v>0.6</v>
      </c>
      <c r="N86" s="44">
        <f t="shared" si="19"/>
        <v>-22.499999999999993</v>
      </c>
      <c r="O86" s="44">
        <f t="shared" si="4"/>
        <v>-2.4545590117686515</v>
      </c>
      <c r="P86" s="54">
        <f t="shared" si="5"/>
        <v>-0.1692799318461139</v>
      </c>
      <c r="Q86" s="81">
        <f t="shared" si="20"/>
        <v>1133.2623311419588</v>
      </c>
      <c r="R86" s="44">
        <f t="shared" si="7"/>
        <v>-22.499999999999993</v>
      </c>
      <c r="S86" s="65"/>
      <c r="T86" s="44">
        <f t="shared" si="9"/>
        <v>800.26233114195895</v>
      </c>
      <c r="U86" s="64">
        <f t="shared" si="10"/>
        <v>55.190505595997166</v>
      </c>
      <c r="V86" s="65">
        <v>1100</v>
      </c>
      <c r="W86" s="44">
        <f t="shared" si="25"/>
        <v>13.605676861322033</v>
      </c>
      <c r="X86" s="44">
        <f>+X85+M86</f>
        <v>3.9999999999999996</v>
      </c>
      <c r="Y86" s="44">
        <f>+W86+X86*14.8</f>
        <v>72.805676861322027</v>
      </c>
      <c r="Z86" s="44"/>
      <c r="AA86" s="81">
        <f t="shared" si="21"/>
        <v>902.13478817403404</v>
      </c>
      <c r="AB86" s="44">
        <f t="shared" si="11"/>
        <v>-22.499999999999993</v>
      </c>
      <c r="AC86" s="44">
        <f t="shared" si="12"/>
        <v>569.13478817403416</v>
      </c>
      <c r="AD86" s="64">
        <f t="shared" si="13"/>
        <v>39.250675046485114</v>
      </c>
      <c r="AE86" s="81">
        <f t="shared" si="22"/>
        <v>638.71549827879755</v>
      </c>
      <c r="AF86" s="82">
        <f t="shared" si="14"/>
        <v>-22.499999999999993</v>
      </c>
      <c r="AG86" s="44">
        <f t="shared" si="15"/>
        <v>305.71549827879767</v>
      </c>
      <c r="AH86" s="64">
        <f t="shared" si="16"/>
        <v>21.083827467503287</v>
      </c>
      <c r="AI86" s="72"/>
      <c r="AK86" s="21"/>
      <c r="AL86" s="97">
        <v>6.430904</v>
      </c>
      <c r="AM86" s="87"/>
    </row>
    <row r="87" spans="2:40" s="3" customFormat="1" x14ac:dyDescent="0.3">
      <c r="B87" s="1">
        <v>78.341991341991303</v>
      </c>
      <c r="C87" s="1">
        <f t="shared" si="28"/>
        <v>17598.744935064926</v>
      </c>
      <c r="D87" s="5">
        <v>0.81884415584415504</v>
      </c>
      <c r="E87" s="10">
        <v>1.9950389610389601</v>
      </c>
      <c r="F87" s="1"/>
      <c r="I87" s="90">
        <v>31500</v>
      </c>
      <c r="J87" s="29">
        <f t="shared" si="3"/>
        <v>19.573241204468914</v>
      </c>
      <c r="K87" s="29">
        <f t="shared" si="18"/>
        <v>335.87681906868664</v>
      </c>
      <c r="L87" s="98">
        <v>311</v>
      </c>
      <c r="M87" s="58">
        <f t="shared" si="17"/>
        <v>0.1</v>
      </c>
      <c r="N87" s="44">
        <f t="shared" si="19"/>
        <v>-22.399999999999991</v>
      </c>
      <c r="O87" s="44">
        <f>+K87+N87*14.8</f>
        <v>4.3568190686867752</v>
      </c>
      <c r="P87" s="54">
        <f t="shared" si="5"/>
        <v>0.30047028059908792</v>
      </c>
      <c r="Q87" s="81">
        <f t="shared" si="20"/>
        <v>1151.540755837797</v>
      </c>
      <c r="R87" s="44">
        <f t="shared" si="7"/>
        <v>-22.399999999999991</v>
      </c>
      <c r="S87" s="65"/>
      <c r="T87" s="44">
        <f t="shared" si="9"/>
        <v>820.02075583779708</v>
      </c>
      <c r="U87" s="64">
        <f t="shared" si="10"/>
        <v>56.55315557502049</v>
      </c>
      <c r="V87" s="65">
        <v>1200</v>
      </c>
      <c r="W87" s="44">
        <f t="shared" si="25"/>
        <v>14.842556575987672</v>
      </c>
      <c r="X87" s="44">
        <f t="shared" ref="X87:X118" si="29">+X86+M87</f>
        <v>4.0999999999999996</v>
      </c>
      <c r="Y87" s="44">
        <f t="shared" ref="Y87:Y118" si="30">+W87+X87*14.8</f>
        <v>75.522556575987664</v>
      </c>
      <c r="Z87" s="44"/>
      <c r="AA87" s="81">
        <f t="shared" si="21"/>
        <v>916.68534927361543</v>
      </c>
      <c r="AB87" s="44">
        <f t="shared" si="11"/>
        <v>-22.399999999999991</v>
      </c>
      <c r="AC87" s="44">
        <f t="shared" si="12"/>
        <v>585.16534927361556</v>
      </c>
      <c r="AD87" s="64">
        <f t="shared" si="13"/>
        <v>40.356230984387281</v>
      </c>
      <c r="AE87" s="81">
        <f t="shared" si="22"/>
        <v>649.01736115426206</v>
      </c>
      <c r="AF87" s="82">
        <f t="shared" si="14"/>
        <v>-22.399999999999991</v>
      </c>
      <c r="AG87" s="44">
        <f t="shared" si="15"/>
        <v>317.49736115426219</v>
      </c>
      <c r="AH87" s="64">
        <f t="shared" si="16"/>
        <v>21.896369734776702</v>
      </c>
      <c r="AI87" s="62"/>
      <c r="AK87" s="21"/>
      <c r="AL87" s="98">
        <v>6.4582689999999996</v>
      </c>
      <c r="AM87" s="87"/>
    </row>
    <row r="88" spans="2:40" s="3" customFormat="1" x14ac:dyDescent="0.3">
      <c r="B88" s="1">
        <v>80.661471861471895</v>
      </c>
      <c r="C88" s="1">
        <f t="shared" si="28"/>
        <v>18119.793038961048</v>
      </c>
      <c r="D88" s="5">
        <v>0.84839350649350598</v>
      </c>
      <c r="E88" s="10">
        <v>2.06744805194805</v>
      </c>
      <c r="F88" s="1"/>
      <c r="I88" s="100">
        <v>32000</v>
      </c>
      <c r="J88" s="101">
        <f t="shared" si="3"/>
        <v>19.883927572793816</v>
      </c>
      <c r="K88" s="101">
        <f t="shared" si="18"/>
        <v>341.20819714914194</v>
      </c>
      <c r="L88" s="102">
        <v>318</v>
      </c>
      <c r="M88" s="59">
        <f t="shared" si="17"/>
        <v>0.7</v>
      </c>
      <c r="N88" s="59">
        <f t="shared" si="19"/>
        <v>-21.699999999999992</v>
      </c>
      <c r="O88" s="59">
        <f t="shared" si="4"/>
        <v>20.048197149142027</v>
      </c>
      <c r="P88" s="99">
        <f t="shared" si="5"/>
        <v>1.3826342861477259</v>
      </c>
      <c r="Q88" s="103">
        <f t="shared" si="20"/>
        <v>1169.8191805336348</v>
      </c>
      <c r="R88" s="59">
        <f t="shared" si="7"/>
        <v>-21.699999999999992</v>
      </c>
      <c r="S88" s="59"/>
      <c r="T88" s="59">
        <f t="shared" si="9"/>
        <v>848.65918053363498</v>
      </c>
      <c r="U88" s="63">
        <f t="shared" si="10"/>
        <v>58.528219347147243</v>
      </c>
      <c r="V88" s="59">
        <v>1300</v>
      </c>
      <c r="W88" s="59">
        <f t="shared" si="25"/>
        <v>16.079436290653309</v>
      </c>
      <c r="X88" s="59">
        <f t="shared" si="29"/>
        <v>4.8</v>
      </c>
      <c r="Y88" s="59">
        <f t="shared" si="30"/>
        <v>87.119436290653312</v>
      </c>
      <c r="Z88" s="59"/>
      <c r="AA88" s="103">
        <f t="shared" si="21"/>
        <v>931.23591037319648</v>
      </c>
      <c r="AB88" s="59">
        <f t="shared" si="11"/>
        <v>-21.699999999999992</v>
      </c>
      <c r="AC88" s="59">
        <f t="shared" si="12"/>
        <v>610.07591037319662</v>
      </c>
      <c r="AD88" s="63">
        <f t="shared" si="13"/>
        <v>42.07420071539287</v>
      </c>
      <c r="AE88" s="103">
        <f t="shared" si="22"/>
        <v>659.31922402972646</v>
      </c>
      <c r="AF88" s="104">
        <f t="shared" si="14"/>
        <v>-21.699999999999992</v>
      </c>
      <c r="AG88" s="59">
        <f t="shared" si="15"/>
        <v>338.15922402972654</v>
      </c>
      <c r="AH88" s="63">
        <f t="shared" si="16"/>
        <v>23.321325795153555</v>
      </c>
      <c r="AI88" s="105"/>
      <c r="AJ88" s="106"/>
      <c r="AK88" s="107"/>
      <c r="AL88" s="102">
        <v>6.4976750000000001</v>
      </c>
      <c r="AM88" s="108" t="s">
        <v>63</v>
      </c>
      <c r="AN88" s="110" t="s">
        <v>68</v>
      </c>
    </row>
    <row r="89" spans="2:40" s="3" customFormat="1" x14ac:dyDescent="0.3">
      <c r="B89" s="1">
        <v>82.980952380952303</v>
      </c>
      <c r="C89" s="1">
        <f t="shared" si="28"/>
        <v>18640.841142857123</v>
      </c>
      <c r="D89" s="5">
        <v>0.87794285714285702</v>
      </c>
      <c r="E89" s="10">
        <v>2.13985714285714</v>
      </c>
      <c r="F89" s="1"/>
      <c r="I89" s="90">
        <v>32500</v>
      </c>
      <c r="J89" s="29">
        <f t="shared" ref="J89:J118" si="31">+I89/1609.34</f>
        <v>20.194613941118721</v>
      </c>
      <c r="K89" s="29">
        <f t="shared" ref="K89:K118" si="32">+($I89/1609.34)*5280/(100)*$D$40</f>
        <v>346.53957522959729</v>
      </c>
      <c r="L89" s="98">
        <v>325</v>
      </c>
      <c r="M89" s="58">
        <f t="shared" ref="M89:M118" si="33">-(L88-L89)/10</f>
        <v>0.7</v>
      </c>
      <c r="N89" s="44">
        <f t="shared" si="19"/>
        <v>-20.999999999999993</v>
      </c>
      <c r="O89" s="44">
        <f t="shared" ref="O89:O118" si="34">+K89+N89*14.8</f>
        <v>35.739575229597392</v>
      </c>
      <c r="P89" s="54">
        <f t="shared" ref="P89:P118" si="35">+O89/14.5</f>
        <v>2.464798291696372</v>
      </c>
      <c r="Q89" s="81">
        <f t="shared" si="20"/>
        <v>1188.0976052294729</v>
      </c>
      <c r="R89" s="44">
        <f t="shared" ref="R89:R118" si="36">+N89</f>
        <v>-20.999999999999993</v>
      </c>
      <c r="S89" s="65"/>
      <c r="T89" s="44">
        <f t="shared" ref="T89:T118" si="37">+Q89+R89*14.8</f>
        <v>877.29760522947299</v>
      </c>
      <c r="U89" s="64">
        <f t="shared" si="10"/>
        <v>60.503283119274002</v>
      </c>
      <c r="V89" s="65">
        <v>1400</v>
      </c>
      <c r="W89" s="44">
        <f t="shared" si="25"/>
        <v>17.316316005318953</v>
      </c>
      <c r="X89" s="44">
        <f t="shared" si="29"/>
        <v>5.5</v>
      </c>
      <c r="Y89" s="44">
        <f t="shared" si="30"/>
        <v>98.716316005318959</v>
      </c>
      <c r="Z89" s="44"/>
      <c r="AA89" s="83">
        <f t="shared" si="21"/>
        <v>945.78647147277775</v>
      </c>
      <c r="AB89" s="44">
        <f t="shared" ref="AB89:AB118" si="38">+N89</f>
        <v>-20.999999999999993</v>
      </c>
      <c r="AC89" s="44">
        <f t="shared" ref="AC89:AC118" si="39">+AA89+AB89*14.8</f>
        <v>634.98647147277779</v>
      </c>
      <c r="AD89" s="64">
        <f t="shared" ref="AD89:AD118" si="40">+AC89/14.5</f>
        <v>43.792170446398465</v>
      </c>
      <c r="AE89" s="81">
        <f t="shared" si="22"/>
        <v>669.62108690519108</v>
      </c>
      <c r="AF89" s="82">
        <f t="shared" ref="AF89:AF118" si="41">+N89</f>
        <v>-20.999999999999993</v>
      </c>
      <c r="AG89" s="44">
        <f t="shared" ref="AG89:AG118" si="42">+AE89+AF89*14.8</f>
        <v>358.82108690519118</v>
      </c>
      <c r="AH89" s="64">
        <f t="shared" si="16"/>
        <v>24.746281855530427</v>
      </c>
      <c r="AI89" s="62"/>
      <c r="AK89" s="21"/>
      <c r="AL89" s="98">
        <v>6.5422739999999999</v>
      </c>
      <c r="AM89" s="87"/>
    </row>
    <row r="90" spans="2:40" s="3" customFormat="1" x14ac:dyDescent="0.3">
      <c r="B90" s="1">
        <v>85.300432900432995</v>
      </c>
      <c r="C90" s="1">
        <f t="shared" si="28"/>
        <v>19161.889246753268</v>
      </c>
      <c r="D90" s="5">
        <v>0.90749220779220696</v>
      </c>
      <c r="E90" s="10">
        <v>2.21226623376623</v>
      </c>
      <c r="F90" s="1"/>
      <c r="I90" s="90">
        <v>33000</v>
      </c>
      <c r="J90" s="29">
        <f t="shared" si="31"/>
        <v>20.505300309443623</v>
      </c>
      <c r="K90" s="29">
        <f t="shared" si="32"/>
        <v>351.87095331005258</v>
      </c>
      <c r="L90" s="97">
        <v>335</v>
      </c>
      <c r="M90" s="58">
        <f t="shared" si="33"/>
        <v>1</v>
      </c>
      <c r="N90" s="44">
        <f t="shared" ref="N90:N118" si="43">+N89+M90</f>
        <v>-19.999999999999993</v>
      </c>
      <c r="O90" s="44">
        <f t="shared" si="34"/>
        <v>55.870953310052698</v>
      </c>
      <c r="P90" s="54">
        <f t="shared" si="35"/>
        <v>3.8531691937967376</v>
      </c>
      <c r="Q90" s="81">
        <f t="shared" si="20"/>
        <v>1206.3760299253108</v>
      </c>
      <c r="R90" s="44">
        <f t="shared" si="36"/>
        <v>-19.999999999999993</v>
      </c>
      <c r="S90" s="65"/>
      <c r="T90" s="44">
        <f t="shared" si="37"/>
        <v>910.37602992531095</v>
      </c>
      <c r="U90" s="64">
        <f t="shared" ref="U90:U118" si="44">+T90/14.5</f>
        <v>62.784553787952476</v>
      </c>
      <c r="V90" s="65">
        <v>1500</v>
      </c>
      <c r="W90" s="44">
        <f t="shared" si="25"/>
        <v>18.55319571998459</v>
      </c>
      <c r="X90" s="44">
        <f t="shared" si="29"/>
        <v>6.5</v>
      </c>
      <c r="Y90" s="44">
        <f t="shared" si="30"/>
        <v>114.75319571998459</v>
      </c>
      <c r="Z90" s="44"/>
      <c r="AA90" s="81">
        <f t="shared" si="21"/>
        <v>960.33703257235879</v>
      </c>
      <c r="AB90" s="44">
        <f t="shared" si="38"/>
        <v>-19.999999999999993</v>
      </c>
      <c r="AC90" s="44">
        <f t="shared" si="39"/>
        <v>664.33703257235891</v>
      </c>
      <c r="AD90" s="64">
        <f t="shared" si="40"/>
        <v>45.816347073955789</v>
      </c>
      <c r="AE90" s="81">
        <f t="shared" si="22"/>
        <v>679.92294978065536</v>
      </c>
      <c r="AF90" s="82">
        <f t="shared" si="41"/>
        <v>-19.999999999999993</v>
      </c>
      <c r="AG90" s="44">
        <f t="shared" si="42"/>
        <v>383.92294978065547</v>
      </c>
      <c r="AH90" s="64">
        <f t="shared" ref="AH90:AH118" si="45">+AG90/14.5</f>
        <v>26.477444812458998</v>
      </c>
      <c r="AI90" s="62"/>
      <c r="AK90" s="21"/>
      <c r="AL90" s="97">
        <v>6.5796010000000003</v>
      </c>
      <c r="AM90" s="87"/>
    </row>
    <row r="91" spans="2:40" s="3" customFormat="1" x14ac:dyDescent="0.3">
      <c r="B91" s="19">
        <v>87.619913419913402</v>
      </c>
      <c r="C91" s="1">
        <f t="shared" si="28"/>
        <v>19682.93735064935</v>
      </c>
      <c r="D91" s="5">
        <v>0.93704155844155601</v>
      </c>
      <c r="E91" s="28">
        <v>2.28467532467532</v>
      </c>
      <c r="F91" s="1"/>
      <c r="I91" s="90">
        <v>33500</v>
      </c>
      <c r="J91" s="29">
        <f t="shared" si="31"/>
        <v>20.815986677768528</v>
      </c>
      <c r="K91" s="29">
        <f t="shared" si="32"/>
        <v>357.20233139050794</v>
      </c>
      <c r="L91" s="98">
        <v>347</v>
      </c>
      <c r="M91" s="58">
        <f t="shared" si="33"/>
        <v>1.2</v>
      </c>
      <c r="N91" s="44">
        <f t="shared" si="43"/>
        <v>-18.799999999999994</v>
      </c>
      <c r="O91" s="44">
        <f t="shared" si="34"/>
        <v>78.962331390508041</v>
      </c>
      <c r="P91" s="54">
        <f t="shared" si="35"/>
        <v>5.4456780269315894</v>
      </c>
      <c r="Q91" s="81">
        <f t="shared" si="20"/>
        <v>1224.6544546211492</v>
      </c>
      <c r="R91" s="44">
        <f t="shared" si="36"/>
        <v>-18.799999999999994</v>
      </c>
      <c r="S91" s="65"/>
      <c r="T91" s="44">
        <f t="shared" si="37"/>
        <v>946.41445462114928</v>
      </c>
      <c r="U91" s="64">
        <f t="shared" si="44"/>
        <v>65.269962387665473</v>
      </c>
      <c r="V91" s="65">
        <v>1600</v>
      </c>
      <c r="W91" s="44">
        <f t="shared" si="25"/>
        <v>19.790075434650234</v>
      </c>
      <c r="X91" s="44">
        <f t="shared" si="29"/>
        <v>7.7</v>
      </c>
      <c r="Y91" s="44">
        <f t="shared" si="30"/>
        <v>133.75007543465023</v>
      </c>
      <c r="Z91" s="44"/>
      <c r="AA91" s="81">
        <f t="shared" si="21"/>
        <v>974.88759367194007</v>
      </c>
      <c r="AB91" s="44">
        <f t="shared" si="38"/>
        <v>-18.799999999999994</v>
      </c>
      <c r="AC91" s="44">
        <f t="shared" si="39"/>
        <v>696.64759367194017</v>
      </c>
      <c r="AD91" s="64">
        <f t="shared" si="40"/>
        <v>48.044661632547601</v>
      </c>
      <c r="AE91" s="81">
        <f t="shared" si="22"/>
        <v>690.22481265611998</v>
      </c>
      <c r="AF91" s="82">
        <f t="shared" si="41"/>
        <v>-18.799999999999994</v>
      </c>
      <c r="AG91" s="44">
        <f t="shared" si="42"/>
        <v>411.98481265612008</v>
      </c>
      <c r="AH91" s="64">
        <f t="shared" si="45"/>
        <v>28.412745700422075</v>
      </c>
      <c r="AI91" s="62"/>
      <c r="AK91" s="21"/>
      <c r="AL91" s="98">
        <v>6.6162559999999999</v>
      </c>
      <c r="AM91" s="87"/>
    </row>
    <row r="92" spans="2:40" s="3" customFormat="1" x14ac:dyDescent="0.3">
      <c r="B92" s="1">
        <v>89.939393939393995</v>
      </c>
      <c r="C92" s="1">
        <f t="shared" si="28"/>
        <v>20203.985454545465</v>
      </c>
      <c r="D92" s="5">
        <v>0.96659090909090695</v>
      </c>
      <c r="E92" s="10">
        <v>2.35708441558441</v>
      </c>
      <c r="F92" s="1"/>
      <c r="I92" s="90">
        <v>34000</v>
      </c>
      <c r="J92" s="29">
        <f t="shared" si="31"/>
        <v>21.12667304609343</v>
      </c>
      <c r="K92" s="29">
        <f t="shared" si="32"/>
        <v>362.53370947096323</v>
      </c>
      <c r="L92" s="97">
        <v>350</v>
      </c>
      <c r="M92" s="58">
        <f t="shared" si="33"/>
        <v>0.3</v>
      </c>
      <c r="N92" s="44">
        <f t="shared" si="43"/>
        <v>-18.499999999999993</v>
      </c>
      <c r="O92" s="44">
        <f t="shared" si="34"/>
        <v>88.733709470963333</v>
      </c>
      <c r="P92" s="54">
        <f t="shared" si="35"/>
        <v>6.1195661704112645</v>
      </c>
      <c r="Q92" s="81">
        <f t="shared" si="20"/>
        <v>1242.9328793169871</v>
      </c>
      <c r="R92" s="44">
        <f t="shared" si="36"/>
        <v>-18.499999999999993</v>
      </c>
      <c r="S92" s="46"/>
      <c r="T92" s="59">
        <f t="shared" si="37"/>
        <v>969.1328793169871</v>
      </c>
      <c r="U92" s="63">
        <f t="shared" si="44"/>
        <v>66.836750297723242</v>
      </c>
      <c r="V92" s="65">
        <v>1700</v>
      </c>
      <c r="W92" s="44">
        <f t="shared" si="25"/>
        <v>21.026955149315871</v>
      </c>
      <c r="X92" s="44">
        <f t="shared" si="29"/>
        <v>8</v>
      </c>
      <c r="Y92" s="44">
        <f t="shared" si="30"/>
        <v>139.42695514931589</v>
      </c>
      <c r="Z92" s="44"/>
      <c r="AA92" s="81">
        <f t="shared" si="21"/>
        <v>989.43815477152123</v>
      </c>
      <c r="AB92" s="44">
        <f t="shared" si="38"/>
        <v>-18.499999999999993</v>
      </c>
      <c r="AC92" s="44">
        <f t="shared" si="39"/>
        <v>715.63815477152139</v>
      </c>
      <c r="AD92" s="64">
        <f t="shared" si="40"/>
        <v>49.354355501484235</v>
      </c>
      <c r="AE92" s="81">
        <f t="shared" si="22"/>
        <v>700.52667553158437</v>
      </c>
      <c r="AF92" s="82">
        <f t="shared" si="41"/>
        <v>-18.499999999999993</v>
      </c>
      <c r="AG92" s="44">
        <f t="shared" si="42"/>
        <v>426.72667553158448</v>
      </c>
      <c r="AH92" s="64">
        <f t="shared" si="45"/>
        <v>29.429425898729964</v>
      </c>
      <c r="AI92" s="72"/>
      <c r="AK92" s="21"/>
      <c r="AL92" s="97">
        <v>6.6524989999999997</v>
      </c>
      <c r="AM92" s="87"/>
    </row>
    <row r="93" spans="2:40" s="3" customFormat="1" x14ac:dyDescent="0.3">
      <c r="B93" s="1">
        <v>92.258874458874402</v>
      </c>
      <c r="C93" s="1">
        <f t="shared" si="28"/>
        <v>20725.033558441544</v>
      </c>
      <c r="D93" s="5">
        <v>0.996140259740256</v>
      </c>
      <c r="E93" s="10">
        <v>2.4294935064934999</v>
      </c>
      <c r="F93" s="1"/>
      <c r="I93" s="90">
        <v>34500</v>
      </c>
      <c r="J93" s="29">
        <f t="shared" si="31"/>
        <v>21.437359414418335</v>
      </c>
      <c r="K93" s="29">
        <f t="shared" si="32"/>
        <v>367.86508755141858</v>
      </c>
      <c r="L93" s="98">
        <v>356</v>
      </c>
      <c r="M93" s="58">
        <f t="shared" si="33"/>
        <v>0.6</v>
      </c>
      <c r="N93" s="44">
        <f t="shared" si="43"/>
        <v>-17.899999999999991</v>
      </c>
      <c r="O93" s="44">
        <f t="shared" si="34"/>
        <v>102.94508755141868</v>
      </c>
      <c r="P93" s="54">
        <f t="shared" si="35"/>
        <v>7.099661210442668</v>
      </c>
      <c r="Q93" s="81">
        <f t="shared" si="20"/>
        <v>1261.2113040128252</v>
      </c>
      <c r="R93" s="44">
        <f t="shared" si="36"/>
        <v>-17.899999999999991</v>
      </c>
      <c r="S93" s="44"/>
      <c r="T93" s="44">
        <f t="shared" si="37"/>
        <v>996.29130401282532</v>
      </c>
      <c r="U93" s="64">
        <f t="shared" si="44"/>
        <v>68.709745104332782</v>
      </c>
      <c r="V93" s="65">
        <v>1800</v>
      </c>
      <c r="W93" s="44">
        <f t="shared" si="25"/>
        <v>22.263834863981508</v>
      </c>
      <c r="X93" s="44">
        <f t="shared" si="29"/>
        <v>8.6</v>
      </c>
      <c r="Y93" s="44">
        <f t="shared" si="30"/>
        <v>149.54383486398152</v>
      </c>
      <c r="Z93" s="44"/>
      <c r="AA93" s="81">
        <f t="shared" si="21"/>
        <v>1003.9887158711025</v>
      </c>
      <c r="AB93" s="44">
        <f t="shared" si="38"/>
        <v>-17.899999999999991</v>
      </c>
      <c r="AC93" s="61">
        <f t="shared" si="39"/>
        <v>739.06871587110254</v>
      </c>
      <c r="AD93" s="64">
        <f t="shared" si="40"/>
        <v>50.970256266972591</v>
      </c>
      <c r="AE93" s="81">
        <f t="shared" si="22"/>
        <v>710.82853840704888</v>
      </c>
      <c r="AF93" s="82">
        <f t="shared" si="41"/>
        <v>-17.899999999999991</v>
      </c>
      <c r="AG93" s="44">
        <f t="shared" si="42"/>
        <v>445.90853840704898</v>
      </c>
      <c r="AH93" s="64">
        <f t="shared" si="45"/>
        <v>30.752312993589584</v>
      </c>
      <c r="AI93" s="62"/>
      <c r="AK93" s="21"/>
      <c r="AL93" s="98">
        <v>6.6703650000000003</v>
      </c>
      <c r="AM93" s="87"/>
    </row>
    <row r="94" spans="2:40" s="3" customFormat="1" x14ac:dyDescent="0.3">
      <c r="B94" s="1">
        <v>94.578354978354994</v>
      </c>
      <c r="C94" s="1">
        <f t="shared" si="28"/>
        <v>21246.081662337667</v>
      </c>
      <c r="D94" s="5">
        <v>1.02568961038961</v>
      </c>
      <c r="E94" s="10">
        <v>2.5019025974025899</v>
      </c>
      <c r="F94" s="1"/>
      <c r="I94" s="90">
        <v>35000</v>
      </c>
      <c r="J94" s="29">
        <f t="shared" si="31"/>
        <v>21.748045782743237</v>
      </c>
      <c r="K94" s="29">
        <f t="shared" si="32"/>
        <v>373.19646563187399</v>
      </c>
      <c r="L94" s="97">
        <v>360</v>
      </c>
      <c r="M94" s="58">
        <f t="shared" si="33"/>
        <v>0.4</v>
      </c>
      <c r="N94" s="44">
        <f t="shared" si="43"/>
        <v>-17.499999999999993</v>
      </c>
      <c r="O94" s="44">
        <f t="shared" si="34"/>
        <v>114.1964656318741</v>
      </c>
      <c r="P94" s="54">
        <f t="shared" si="35"/>
        <v>7.8756183194395932</v>
      </c>
      <c r="Q94" s="81">
        <f t="shared" si="20"/>
        <v>1279.4897287086633</v>
      </c>
      <c r="R94" s="44">
        <f t="shared" si="36"/>
        <v>-17.499999999999993</v>
      </c>
      <c r="S94" s="44"/>
      <c r="T94" s="44">
        <f t="shared" si="37"/>
        <v>1020.4897287086634</v>
      </c>
      <c r="U94" s="64">
        <f t="shared" si="44"/>
        <v>70.378601979907813</v>
      </c>
      <c r="V94" s="65">
        <v>1900</v>
      </c>
      <c r="W94" s="44">
        <f t="shared" si="25"/>
        <v>23.500714578647148</v>
      </c>
      <c r="X94" s="44">
        <f t="shared" si="29"/>
        <v>9</v>
      </c>
      <c r="Y94" s="44">
        <f t="shared" si="30"/>
        <v>156.70071457864717</v>
      </c>
      <c r="Z94" s="44"/>
      <c r="AA94" s="81">
        <f t="shared" si="21"/>
        <v>1018.5392769706838</v>
      </c>
      <c r="AB94" s="44">
        <f t="shared" si="38"/>
        <v>-17.499999999999993</v>
      </c>
      <c r="AC94" s="61">
        <f t="shared" si="39"/>
        <v>759.53927697068389</v>
      </c>
      <c r="AD94" s="64">
        <f t="shared" si="40"/>
        <v>52.382019101426472</v>
      </c>
      <c r="AE94" s="81">
        <f t="shared" si="22"/>
        <v>721.13040128251339</v>
      </c>
      <c r="AF94" s="82">
        <f t="shared" si="41"/>
        <v>-17.499999999999993</v>
      </c>
      <c r="AG94" s="44">
        <f t="shared" si="42"/>
        <v>462.1304012825135</v>
      </c>
      <c r="AH94" s="64">
        <f t="shared" si="45"/>
        <v>31.871062157414723</v>
      </c>
      <c r="AI94" s="62"/>
      <c r="AK94" s="21"/>
      <c r="AL94" s="97">
        <v>6.6938310000000003</v>
      </c>
      <c r="AM94" s="87"/>
    </row>
    <row r="95" spans="2:40" s="3" customFormat="1" x14ac:dyDescent="0.3">
      <c r="B95" s="1">
        <v>96.897835497835501</v>
      </c>
      <c r="C95" s="1">
        <f t="shared" si="28"/>
        <v>21767.129766233767</v>
      </c>
      <c r="D95" s="5">
        <v>1.0552389610389601</v>
      </c>
      <c r="E95" s="10">
        <v>2.5743116883116799</v>
      </c>
      <c r="F95" s="1"/>
      <c r="H95" s="17" t="s">
        <v>61</v>
      </c>
      <c r="I95" s="100">
        <v>35500</v>
      </c>
      <c r="J95" s="101">
        <f t="shared" si="31"/>
        <v>22.058732151068142</v>
      </c>
      <c r="K95" s="101">
        <f t="shared" si="32"/>
        <v>378.52784371232934</v>
      </c>
      <c r="L95" s="109">
        <v>370</v>
      </c>
      <c r="M95" s="59">
        <f t="shared" si="33"/>
        <v>1</v>
      </c>
      <c r="N95" s="59">
        <f t="shared" si="43"/>
        <v>-16.499999999999993</v>
      </c>
      <c r="O95" s="59">
        <f t="shared" si="34"/>
        <v>134.32784371232944</v>
      </c>
      <c r="P95" s="99">
        <f t="shared" si="35"/>
        <v>9.263989221539962</v>
      </c>
      <c r="Q95" s="103">
        <f t="shared" si="20"/>
        <v>1297.7681534045014</v>
      </c>
      <c r="R95" s="59">
        <f t="shared" si="36"/>
        <v>-16.499999999999993</v>
      </c>
      <c r="S95" s="59"/>
      <c r="T95" s="59">
        <f t="shared" si="37"/>
        <v>1053.5681534045016</v>
      </c>
      <c r="U95" s="63">
        <f t="shared" si="44"/>
        <v>72.659872648586315</v>
      </c>
      <c r="V95" s="59">
        <v>2000</v>
      </c>
      <c r="W95" s="59">
        <f t="shared" si="25"/>
        <v>24.737594293312789</v>
      </c>
      <c r="X95" s="59">
        <f t="shared" si="29"/>
        <v>10</v>
      </c>
      <c r="Y95" s="59">
        <f t="shared" si="30"/>
        <v>172.73759429331278</v>
      </c>
      <c r="Z95" s="59"/>
      <c r="AA95" s="103">
        <f t="shared" si="21"/>
        <v>1033.0898380702649</v>
      </c>
      <c r="AB95" s="59">
        <f t="shared" si="38"/>
        <v>-16.499999999999993</v>
      </c>
      <c r="AC95" s="99">
        <f t="shared" si="39"/>
        <v>788.889838070265</v>
      </c>
      <c r="AD95" s="63">
        <f t="shared" si="40"/>
        <v>54.406195728983796</v>
      </c>
      <c r="AE95" s="103">
        <f t="shared" si="22"/>
        <v>731.4322641579779</v>
      </c>
      <c r="AF95" s="104">
        <f t="shared" si="41"/>
        <v>-16.499999999999993</v>
      </c>
      <c r="AG95" s="59">
        <f t="shared" si="42"/>
        <v>487.23226415797797</v>
      </c>
      <c r="AH95" s="63">
        <f t="shared" si="45"/>
        <v>33.602225114343305</v>
      </c>
      <c r="AI95" s="105"/>
      <c r="AJ95" s="106"/>
      <c r="AK95" s="107"/>
      <c r="AL95" s="109">
        <v>6.7320650000000004</v>
      </c>
      <c r="AM95" s="108" t="s">
        <v>64</v>
      </c>
      <c r="AN95" s="111"/>
    </row>
    <row r="96" spans="2:40" s="3" customFormat="1" x14ac:dyDescent="0.3">
      <c r="B96" s="1"/>
      <c r="C96" s="1"/>
      <c r="D96" s="1"/>
      <c r="F96" s="1"/>
      <c r="I96" s="90">
        <v>36000</v>
      </c>
      <c r="J96" s="29">
        <f t="shared" si="31"/>
        <v>22.369418519393044</v>
      </c>
      <c r="K96" s="29">
        <f t="shared" si="32"/>
        <v>383.85922179278464</v>
      </c>
      <c r="L96" s="97">
        <v>370</v>
      </c>
      <c r="M96" s="58">
        <f t="shared" si="33"/>
        <v>0</v>
      </c>
      <c r="N96" s="44">
        <f t="shared" si="43"/>
        <v>-16.499999999999993</v>
      </c>
      <c r="O96" s="44">
        <f t="shared" si="34"/>
        <v>139.65922179278473</v>
      </c>
      <c r="P96" s="54">
        <f t="shared" si="35"/>
        <v>9.6316704684679131</v>
      </c>
      <c r="Q96" s="81">
        <f t="shared" si="20"/>
        <v>1316.0465781003393</v>
      </c>
      <c r="R96" s="44">
        <f t="shared" si="36"/>
        <v>-16.499999999999993</v>
      </c>
      <c r="S96" s="44"/>
      <c r="T96" s="44">
        <f t="shared" si="37"/>
        <v>1071.8465781003395</v>
      </c>
      <c r="U96" s="64">
        <f t="shared" si="44"/>
        <v>73.92045366209237</v>
      </c>
      <c r="V96" s="65">
        <v>2100</v>
      </c>
      <c r="W96" s="44">
        <f t="shared" si="25"/>
        <v>25.974474007978433</v>
      </c>
      <c r="X96" s="44">
        <f t="shared" si="29"/>
        <v>10</v>
      </c>
      <c r="Y96" s="44">
        <f t="shared" si="30"/>
        <v>173.97447400797844</v>
      </c>
      <c r="Z96" s="44"/>
      <c r="AA96" s="81">
        <f t="shared" si="21"/>
        <v>1047.640399169846</v>
      </c>
      <c r="AB96" s="44">
        <f t="shared" si="38"/>
        <v>-16.499999999999993</v>
      </c>
      <c r="AC96" s="61">
        <f t="shared" si="39"/>
        <v>803.44039916984605</v>
      </c>
      <c r="AD96" s="64">
        <f t="shared" si="40"/>
        <v>55.409682701368695</v>
      </c>
      <c r="AE96" s="81">
        <f t="shared" si="22"/>
        <v>741.73412703344229</v>
      </c>
      <c r="AF96" s="82">
        <f t="shared" si="41"/>
        <v>-16.499999999999993</v>
      </c>
      <c r="AG96" s="44">
        <f t="shared" si="42"/>
        <v>497.53412703344236</v>
      </c>
      <c r="AH96" s="64">
        <f t="shared" si="45"/>
        <v>34.312698416099472</v>
      </c>
      <c r="AK96" s="21"/>
      <c r="AL96" s="97">
        <v>6.7639469999999999</v>
      </c>
      <c r="AM96" s="87"/>
    </row>
    <row r="97" spans="2:40" s="3" customFormat="1" x14ac:dyDescent="0.3">
      <c r="B97" s="1"/>
      <c r="C97" s="1"/>
      <c r="D97" s="1"/>
      <c r="F97" s="1"/>
      <c r="I97" s="90">
        <v>36500</v>
      </c>
      <c r="J97" s="29">
        <f t="shared" si="31"/>
        <v>22.680104887717949</v>
      </c>
      <c r="K97" s="29">
        <f t="shared" si="32"/>
        <v>389.19059987323999</v>
      </c>
      <c r="L97" s="98">
        <v>377</v>
      </c>
      <c r="M97" s="58">
        <f t="shared" si="33"/>
        <v>0.7</v>
      </c>
      <c r="N97" s="44">
        <f t="shared" si="43"/>
        <v>-15.799999999999994</v>
      </c>
      <c r="O97" s="44">
        <f t="shared" si="34"/>
        <v>155.35059987324007</v>
      </c>
      <c r="P97" s="54">
        <f t="shared" si="35"/>
        <v>10.713834474016556</v>
      </c>
      <c r="Q97" s="81">
        <f t="shared" si="20"/>
        <v>1334.3250027961774</v>
      </c>
      <c r="R97" s="44">
        <f t="shared" si="36"/>
        <v>-15.799999999999994</v>
      </c>
      <c r="S97" s="44"/>
      <c r="T97" s="44">
        <f t="shared" si="37"/>
        <v>1100.4850027961775</v>
      </c>
      <c r="U97" s="64">
        <f t="shared" si="44"/>
        <v>75.89551743421913</v>
      </c>
      <c r="V97" s="65">
        <v>2200</v>
      </c>
      <c r="W97" s="44">
        <f t="shared" si="25"/>
        <v>27.211353722644066</v>
      </c>
      <c r="X97" s="44">
        <f t="shared" si="29"/>
        <v>10.7</v>
      </c>
      <c r="Y97" s="44">
        <f t="shared" si="30"/>
        <v>185.57135372264406</v>
      </c>
      <c r="Z97" s="44"/>
      <c r="AA97" s="81">
        <f t="shared" si="21"/>
        <v>1062.1909602694273</v>
      </c>
      <c r="AB97" s="44">
        <f t="shared" si="38"/>
        <v>-15.799999999999994</v>
      </c>
      <c r="AC97" s="61">
        <f t="shared" si="39"/>
        <v>828.35096026942733</v>
      </c>
      <c r="AD97" s="64">
        <f t="shared" si="40"/>
        <v>57.127652432374298</v>
      </c>
      <c r="AE97" s="81">
        <f t="shared" si="22"/>
        <v>752.0359899089068</v>
      </c>
      <c r="AF97" s="82">
        <f t="shared" si="41"/>
        <v>-15.799999999999994</v>
      </c>
      <c r="AG97" s="44">
        <f t="shared" si="42"/>
        <v>518.19598990890688</v>
      </c>
      <c r="AH97" s="64">
        <f t="shared" si="45"/>
        <v>35.737654476476337</v>
      </c>
      <c r="AK97" s="21"/>
      <c r="AL97" s="98">
        <v>6.7976809999999999</v>
      </c>
      <c r="AM97" s="87"/>
    </row>
    <row r="98" spans="2:40" s="3" customFormat="1" x14ac:dyDescent="0.3">
      <c r="B98" s="1"/>
      <c r="C98" s="1"/>
      <c r="D98" s="1"/>
      <c r="F98" s="1"/>
      <c r="I98" s="90">
        <v>37000</v>
      </c>
      <c r="J98" s="29">
        <f t="shared" si="31"/>
        <v>22.990791256042851</v>
      </c>
      <c r="K98" s="29">
        <f t="shared" si="32"/>
        <v>394.5219779536954</v>
      </c>
      <c r="L98" s="97">
        <v>385</v>
      </c>
      <c r="M98" s="58">
        <f t="shared" si="33"/>
        <v>0.8</v>
      </c>
      <c r="N98" s="44">
        <f>+N97+M98</f>
        <v>-14.999999999999993</v>
      </c>
      <c r="O98" s="44">
        <f t="shared" si="34"/>
        <v>172.52197795369548</v>
      </c>
      <c r="P98" s="54">
        <f t="shared" si="35"/>
        <v>11.898067445082447</v>
      </c>
      <c r="Q98" s="81">
        <f t="shared" si="20"/>
        <v>1352.6034274920155</v>
      </c>
      <c r="R98" s="44">
        <f t="shared" si="36"/>
        <v>-14.999999999999993</v>
      </c>
      <c r="S98" s="44"/>
      <c r="T98" s="44">
        <f t="shared" si="37"/>
        <v>1130.6034274920155</v>
      </c>
      <c r="U98" s="64">
        <f t="shared" si="44"/>
        <v>77.972650171863137</v>
      </c>
      <c r="V98" s="65">
        <v>2300</v>
      </c>
      <c r="W98" s="44">
        <f t="shared" si="25"/>
        <v>28.448233437309707</v>
      </c>
      <c r="X98" s="44">
        <f t="shared" si="29"/>
        <v>11.5</v>
      </c>
      <c r="Y98" s="44">
        <f t="shared" si="30"/>
        <v>198.64823343730973</v>
      </c>
      <c r="Z98" s="44"/>
      <c r="AA98" s="81">
        <f t="shared" si="21"/>
        <v>1076.7415213690085</v>
      </c>
      <c r="AB98" s="44">
        <f t="shared" si="38"/>
        <v>-14.999999999999993</v>
      </c>
      <c r="AC98" s="61">
        <f t="shared" si="39"/>
        <v>854.74152136900864</v>
      </c>
      <c r="AD98" s="64">
        <f t="shared" si="40"/>
        <v>58.947691128897148</v>
      </c>
      <c r="AE98" s="81">
        <f t="shared" si="22"/>
        <v>762.33785278437131</v>
      </c>
      <c r="AF98" s="82">
        <f t="shared" si="41"/>
        <v>-14.999999999999993</v>
      </c>
      <c r="AG98" s="44">
        <f t="shared" si="42"/>
        <v>540.33785278437142</v>
      </c>
      <c r="AH98" s="64">
        <f t="shared" si="45"/>
        <v>37.264679502370441</v>
      </c>
      <c r="AK98" s="21"/>
      <c r="AL98" s="97">
        <v>6.8558440000000003</v>
      </c>
      <c r="AM98" s="87"/>
    </row>
    <row r="99" spans="2:40" s="3" customFormat="1" x14ac:dyDescent="0.3">
      <c r="B99" s="1"/>
      <c r="C99" s="1"/>
      <c r="D99" s="1"/>
      <c r="F99" s="1"/>
      <c r="I99" s="90">
        <v>37500</v>
      </c>
      <c r="J99" s="29">
        <f t="shared" si="31"/>
        <v>23.301477624367756</v>
      </c>
      <c r="K99" s="29">
        <f t="shared" si="32"/>
        <v>399.85335603415075</v>
      </c>
      <c r="L99" s="98">
        <v>391</v>
      </c>
      <c r="M99" s="58">
        <f t="shared" si="33"/>
        <v>0.6</v>
      </c>
      <c r="N99" s="44">
        <f t="shared" si="43"/>
        <v>-14.399999999999993</v>
      </c>
      <c r="O99" s="44">
        <f t="shared" si="34"/>
        <v>186.73335603415083</v>
      </c>
      <c r="P99" s="54">
        <f t="shared" si="35"/>
        <v>12.878162485113851</v>
      </c>
      <c r="Q99" s="81">
        <f t="shared" si="20"/>
        <v>1370.8818521878536</v>
      </c>
      <c r="R99" s="44">
        <f t="shared" si="36"/>
        <v>-14.399999999999993</v>
      </c>
      <c r="S99" s="44"/>
      <c r="T99" s="44">
        <f t="shared" si="37"/>
        <v>1157.7618521878537</v>
      </c>
      <c r="U99" s="64">
        <f t="shared" si="44"/>
        <v>79.845644978472677</v>
      </c>
      <c r="V99" s="65">
        <v>2400</v>
      </c>
      <c r="W99" s="44">
        <f t="shared" si="25"/>
        <v>29.685113151975344</v>
      </c>
      <c r="X99" s="44">
        <f t="shared" si="29"/>
        <v>12.1</v>
      </c>
      <c r="Y99" s="44">
        <f t="shared" si="30"/>
        <v>208.76511315197536</v>
      </c>
      <c r="Z99" s="44"/>
      <c r="AA99" s="81">
        <f t="shared" si="21"/>
        <v>1091.2920824685898</v>
      </c>
      <c r="AB99" s="44">
        <f t="shared" si="38"/>
        <v>-14.399999999999993</v>
      </c>
      <c r="AC99" s="61">
        <f t="shared" si="39"/>
        <v>878.17208246858991</v>
      </c>
      <c r="AD99" s="64">
        <f t="shared" si="40"/>
        <v>60.56359189438551</v>
      </c>
      <c r="AE99" s="81">
        <f t="shared" si="22"/>
        <v>772.63971565983593</v>
      </c>
      <c r="AF99" s="82">
        <f t="shared" si="41"/>
        <v>-14.399999999999993</v>
      </c>
      <c r="AG99" s="44">
        <f t="shared" si="42"/>
        <v>559.51971565983604</v>
      </c>
      <c r="AH99" s="64">
        <f t="shared" si="45"/>
        <v>38.587566597230072</v>
      </c>
      <c r="AK99" s="21"/>
      <c r="AL99" s="98">
        <v>6.8765879999999999</v>
      </c>
      <c r="AM99" s="87"/>
    </row>
    <row r="100" spans="2:40" s="3" customFormat="1" x14ac:dyDescent="0.3">
      <c r="B100" s="1"/>
      <c r="C100" s="1"/>
      <c r="D100" s="1"/>
      <c r="F100" s="1"/>
      <c r="I100" s="90">
        <v>38000</v>
      </c>
      <c r="J100" s="29">
        <f t="shared" si="31"/>
        <v>23.612163992692658</v>
      </c>
      <c r="K100" s="29">
        <f t="shared" si="32"/>
        <v>405.18473411460604</v>
      </c>
      <c r="L100" s="97">
        <v>403</v>
      </c>
      <c r="M100" s="58">
        <f t="shared" si="33"/>
        <v>1.2</v>
      </c>
      <c r="N100" s="44">
        <f t="shared" si="43"/>
        <v>-13.199999999999994</v>
      </c>
      <c r="O100" s="44">
        <f t="shared" si="34"/>
        <v>209.82473411460612</v>
      </c>
      <c r="P100" s="54">
        <f t="shared" si="35"/>
        <v>14.470671318248698</v>
      </c>
      <c r="Q100" s="81">
        <f t="shared" si="20"/>
        <v>1389.1602768836915</v>
      </c>
      <c r="R100" s="44">
        <f t="shared" si="36"/>
        <v>-13.199999999999994</v>
      </c>
      <c r="S100" s="44"/>
      <c r="T100" s="44">
        <f t="shared" si="37"/>
        <v>1193.8002768836916</v>
      </c>
      <c r="U100" s="64">
        <f t="shared" si="44"/>
        <v>82.331053578185632</v>
      </c>
      <c r="V100" s="65">
        <v>2500</v>
      </c>
      <c r="W100" s="44">
        <f t="shared" si="25"/>
        <v>30.921992866640984</v>
      </c>
      <c r="X100" s="44">
        <f t="shared" si="29"/>
        <v>13.299999999999999</v>
      </c>
      <c r="Y100" s="44">
        <f t="shared" si="30"/>
        <v>227.76199286664098</v>
      </c>
      <c r="Z100" s="44"/>
      <c r="AA100" s="81">
        <f t="shared" si="21"/>
        <v>1105.8426435681708</v>
      </c>
      <c r="AB100" s="44">
        <f t="shared" si="38"/>
        <v>-13.199999999999994</v>
      </c>
      <c r="AC100" s="61">
        <f t="shared" si="39"/>
        <v>910.48264356817094</v>
      </c>
      <c r="AD100" s="64">
        <f t="shared" si="40"/>
        <v>62.791906452977308</v>
      </c>
      <c r="AE100" s="81">
        <f t="shared" si="22"/>
        <v>782.94157853530021</v>
      </c>
      <c r="AF100" s="82">
        <f t="shared" si="41"/>
        <v>-13.199999999999994</v>
      </c>
      <c r="AG100" s="44">
        <f t="shared" si="42"/>
        <v>587.58157853530031</v>
      </c>
      <c r="AH100" s="64">
        <f t="shared" si="45"/>
        <v>40.522867485193125</v>
      </c>
      <c r="AK100" s="21"/>
      <c r="AL100" s="97">
        <v>6.904407</v>
      </c>
      <c r="AM100" s="87"/>
    </row>
    <row r="101" spans="2:40" s="3" customFormat="1" x14ac:dyDescent="0.3">
      <c r="B101" s="1"/>
      <c r="C101" s="1"/>
      <c r="D101" s="1"/>
      <c r="F101" s="1"/>
      <c r="I101" s="100">
        <v>38500</v>
      </c>
      <c r="J101" s="101">
        <f t="shared" si="31"/>
        <v>23.922850361017563</v>
      </c>
      <c r="K101" s="101">
        <f t="shared" si="32"/>
        <v>410.5161121950614</v>
      </c>
      <c r="L101" s="109">
        <v>413</v>
      </c>
      <c r="M101" s="59">
        <f t="shared" si="33"/>
        <v>1</v>
      </c>
      <c r="N101" s="59">
        <f t="shared" si="43"/>
        <v>-12.199999999999994</v>
      </c>
      <c r="O101" s="59">
        <f t="shared" si="34"/>
        <v>229.95611219506148</v>
      </c>
      <c r="P101" s="99">
        <f t="shared" si="35"/>
        <v>15.859042220349068</v>
      </c>
      <c r="Q101" s="103">
        <f t="shared" si="20"/>
        <v>1407.4387015795296</v>
      </c>
      <c r="R101" s="59">
        <f t="shared" si="36"/>
        <v>-12.199999999999994</v>
      </c>
      <c r="S101" s="59"/>
      <c r="T101" s="59">
        <f t="shared" si="37"/>
        <v>1226.8787015795297</v>
      </c>
      <c r="U101" s="63">
        <f t="shared" si="44"/>
        <v>84.612324246864119</v>
      </c>
      <c r="V101" s="59">
        <v>2600</v>
      </c>
      <c r="W101" s="59">
        <f t="shared" si="25"/>
        <v>32.158872581306618</v>
      </c>
      <c r="X101" s="59">
        <f t="shared" si="29"/>
        <v>14.299999999999999</v>
      </c>
      <c r="Y101" s="59">
        <f t="shared" si="30"/>
        <v>243.7988725813066</v>
      </c>
      <c r="Z101" s="59"/>
      <c r="AA101" s="103">
        <f t="shared" si="21"/>
        <v>1120.3932046677521</v>
      </c>
      <c r="AB101" s="59">
        <f t="shared" si="38"/>
        <v>-12.199999999999994</v>
      </c>
      <c r="AC101" s="99">
        <f t="shared" si="39"/>
        <v>939.83320466775217</v>
      </c>
      <c r="AD101" s="63">
        <f t="shared" si="40"/>
        <v>64.816083080534639</v>
      </c>
      <c r="AE101" s="103">
        <f t="shared" si="22"/>
        <v>793.24344141076483</v>
      </c>
      <c r="AF101" s="104">
        <f t="shared" si="41"/>
        <v>-12.199999999999994</v>
      </c>
      <c r="AG101" s="59">
        <f t="shared" si="42"/>
        <v>612.68344141076489</v>
      </c>
      <c r="AH101" s="63">
        <f t="shared" si="45"/>
        <v>42.254030442121717</v>
      </c>
      <c r="AI101" s="106"/>
      <c r="AJ101" s="106"/>
      <c r="AK101" s="107"/>
      <c r="AL101" s="109">
        <v>6.9418559999999996</v>
      </c>
      <c r="AM101" s="108" t="s">
        <v>65</v>
      </c>
      <c r="AN101" s="112"/>
    </row>
    <row r="102" spans="2:40" s="3" customFormat="1" x14ac:dyDescent="0.3">
      <c r="B102" s="1"/>
      <c r="C102" s="1"/>
      <c r="D102" s="1"/>
      <c r="F102" s="1"/>
      <c r="I102" s="90">
        <v>39000</v>
      </c>
      <c r="J102" s="29">
        <f t="shared" si="31"/>
        <v>24.233536729342465</v>
      </c>
      <c r="K102" s="29">
        <f t="shared" si="32"/>
        <v>415.84749027551669</v>
      </c>
      <c r="L102" s="97">
        <v>420</v>
      </c>
      <c r="M102" s="58">
        <f t="shared" si="33"/>
        <v>0.7</v>
      </c>
      <c r="N102" s="44">
        <f t="shared" si="43"/>
        <v>-11.499999999999995</v>
      </c>
      <c r="O102" s="44">
        <f t="shared" si="34"/>
        <v>245.64749027551676</v>
      </c>
      <c r="P102" s="54">
        <f t="shared" si="35"/>
        <v>16.941206225897709</v>
      </c>
      <c r="Q102" s="81">
        <f t="shared" si="20"/>
        <v>1425.7171262753675</v>
      </c>
      <c r="R102" s="44">
        <f t="shared" si="36"/>
        <v>-11.499999999999995</v>
      </c>
      <c r="S102" s="44"/>
      <c r="T102" s="44">
        <f t="shared" si="37"/>
        <v>1255.5171262753674</v>
      </c>
      <c r="U102" s="64">
        <f t="shared" si="44"/>
        <v>86.587388018990865</v>
      </c>
      <c r="V102" s="65">
        <v>2700</v>
      </c>
      <c r="W102" s="44">
        <f t="shared" si="25"/>
        <v>33.395752295972258</v>
      </c>
      <c r="X102" s="44">
        <f t="shared" si="29"/>
        <v>14.999999999999998</v>
      </c>
      <c r="Y102" s="44">
        <f t="shared" si="30"/>
        <v>255.39575229597222</v>
      </c>
      <c r="Z102" s="44"/>
      <c r="AA102" s="81">
        <f t="shared" si="21"/>
        <v>1134.9437657673332</v>
      </c>
      <c r="AB102" s="44">
        <f t="shared" si="38"/>
        <v>-11.499999999999995</v>
      </c>
      <c r="AC102" s="61">
        <f t="shared" si="39"/>
        <v>964.74376576733323</v>
      </c>
      <c r="AD102" s="64">
        <f t="shared" si="40"/>
        <v>66.534052811540221</v>
      </c>
      <c r="AE102" s="81">
        <f t="shared" si="22"/>
        <v>803.54530428622922</v>
      </c>
      <c r="AF102" s="82">
        <f t="shared" si="41"/>
        <v>-11.499999999999995</v>
      </c>
      <c r="AG102" s="44">
        <f t="shared" si="42"/>
        <v>633.34530428622929</v>
      </c>
      <c r="AH102" s="64">
        <f t="shared" si="45"/>
        <v>43.678986502498574</v>
      </c>
      <c r="AK102" s="21"/>
      <c r="AL102" s="97">
        <v>7.2854999999999999</v>
      </c>
      <c r="AM102" s="87"/>
    </row>
    <row r="103" spans="2:40" s="3" customFormat="1" x14ac:dyDescent="0.3">
      <c r="B103" s="1"/>
      <c r="C103" s="1"/>
      <c r="D103" s="1"/>
      <c r="F103" s="1"/>
      <c r="I103" s="90">
        <v>39500</v>
      </c>
      <c r="J103" s="29">
        <f t="shared" si="31"/>
        <v>24.544223097667366</v>
      </c>
      <c r="K103" s="29">
        <f t="shared" si="32"/>
        <v>421.17886835597199</v>
      </c>
      <c r="L103" s="98">
        <v>431</v>
      </c>
      <c r="M103" s="58">
        <f t="shared" si="33"/>
        <v>1.1000000000000001</v>
      </c>
      <c r="N103" s="44">
        <f t="shared" si="43"/>
        <v>-10.399999999999995</v>
      </c>
      <c r="O103" s="44">
        <f t="shared" si="34"/>
        <v>267.25886835597203</v>
      </c>
      <c r="P103" s="54">
        <f t="shared" si="35"/>
        <v>18.431646093515312</v>
      </c>
      <c r="Q103" s="81">
        <f t="shared" si="20"/>
        <v>1443.9955509712054</v>
      </c>
      <c r="R103" s="44">
        <f t="shared" si="36"/>
        <v>-10.399999999999995</v>
      </c>
      <c r="S103" s="44"/>
      <c r="T103" s="44">
        <f t="shared" si="37"/>
        <v>1290.0755509712055</v>
      </c>
      <c r="U103" s="64">
        <f t="shared" si="44"/>
        <v>88.970727653186586</v>
      </c>
      <c r="V103" s="65">
        <v>2800</v>
      </c>
      <c r="W103" s="44">
        <f t="shared" si="25"/>
        <v>34.632632010637906</v>
      </c>
      <c r="X103" s="44">
        <f t="shared" si="29"/>
        <v>16.099999999999998</v>
      </c>
      <c r="Y103" s="44">
        <f t="shared" si="30"/>
        <v>272.91263201063788</v>
      </c>
      <c r="Z103" s="44"/>
      <c r="AA103" s="81">
        <f t="shared" si="21"/>
        <v>1149.4943268669144</v>
      </c>
      <c r="AB103" s="44">
        <f t="shared" si="38"/>
        <v>-10.399999999999995</v>
      </c>
      <c r="AC103" s="61">
        <f t="shared" si="39"/>
        <v>995.57432686691448</v>
      </c>
      <c r="AD103" s="64">
        <f t="shared" si="40"/>
        <v>68.660298404614792</v>
      </c>
      <c r="AE103" s="81">
        <f t="shared" si="22"/>
        <v>813.84716716169362</v>
      </c>
      <c r="AF103" s="82">
        <f t="shared" si="41"/>
        <v>-10.399999999999995</v>
      </c>
      <c r="AG103" s="44">
        <f t="shared" si="42"/>
        <v>659.92716716169366</v>
      </c>
      <c r="AH103" s="64">
        <f t="shared" si="45"/>
        <v>45.512218424944393</v>
      </c>
      <c r="AK103" s="21"/>
      <c r="AL103" s="98">
        <v>7.3260829999999997</v>
      </c>
      <c r="AM103" s="87"/>
    </row>
    <row r="104" spans="2:40" s="3" customFormat="1" x14ac:dyDescent="0.3">
      <c r="B104" s="1"/>
      <c r="C104" s="1"/>
      <c r="D104" s="1"/>
      <c r="F104" s="1"/>
      <c r="I104" s="90">
        <v>40000</v>
      </c>
      <c r="J104" s="29">
        <f t="shared" si="31"/>
        <v>24.854909465992272</v>
      </c>
      <c r="K104" s="29">
        <f t="shared" si="32"/>
        <v>426.51024643642739</v>
      </c>
      <c r="L104" s="97">
        <v>440</v>
      </c>
      <c r="M104" s="58">
        <f t="shared" si="33"/>
        <v>0.9</v>
      </c>
      <c r="N104" s="44">
        <f t="shared" si="43"/>
        <v>-9.4999999999999947</v>
      </c>
      <c r="O104" s="44">
        <f t="shared" si="34"/>
        <v>285.91024643642743</v>
      </c>
      <c r="P104" s="54">
        <f t="shared" si="35"/>
        <v>19.717948030098444</v>
      </c>
      <c r="Q104" s="81">
        <f t="shared" si="20"/>
        <v>1462.2739756670435</v>
      </c>
      <c r="R104" s="44">
        <f t="shared" si="36"/>
        <v>-9.4999999999999947</v>
      </c>
      <c r="S104" s="44"/>
      <c r="T104" s="44">
        <f t="shared" si="37"/>
        <v>1321.6739756670436</v>
      </c>
      <c r="U104" s="64">
        <f t="shared" si="44"/>
        <v>91.149929356347826</v>
      </c>
      <c r="V104" s="65">
        <v>2900</v>
      </c>
      <c r="W104" s="44">
        <f t="shared" si="25"/>
        <v>35.869511725303539</v>
      </c>
      <c r="X104" s="44">
        <f t="shared" si="29"/>
        <v>16.999999999999996</v>
      </c>
      <c r="Y104" s="44">
        <f t="shared" si="30"/>
        <v>287.46951172530351</v>
      </c>
      <c r="Z104" s="44"/>
      <c r="AA104" s="81">
        <f t="shared" si="21"/>
        <v>1164.0448879664955</v>
      </c>
      <c r="AB104" s="44">
        <f t="shared" si="38"/>
        <v>-9.4999999999999947</v>
      </c>
      <c r="AC104" s="61">
        <f t="shared" si="39"/>
        <v>1023.4448879664956</v>
      </c>
      <c r="AD104" s="64">
        <f t="shared" si="40"/>
        <v>70.582406066654869</v>
      </c>
      <c r="AE104" s="81">
        <f t="shared" si="22"/>
        <v>824.14903003715813</v>
      </c>
      <c r="AF104" s="82">
        <f t="shared" si="41"/>
        <v>-9.4999999999999947</v>
      </c>
      <c r="AG104" s="44">
        <f t="shared" si="42"/>
        <v>683.54903003715822</v>
      </c>
      <c r="AH104" s="64">
        <f t="shared" si="45"/>
        <v>47.141312416355738</v>
      </c>
      <c r="AK104" s="21"/>
      <c r="AL104" s="97">
        <v>7.5307839999999997</v>
      </c>
      <c r="AM104" s="87"/>
    </row>
    <row r="105" spans="2:40" s="3" customFormat="1" x14ac:dyDescent="0.3">
      <c r="B105" s="1"/>
      <c r="C105" s="1"/>
      <c r="D105" s="1"/>
      <c r="F105" s="1"/>
      <c r="I105" s="90">
        <v>40500</v>
      </c>
      <c r="J105" s="29">
        <f t="shared" si="31"/>
        <v>25.165595834317173</v>
      </c>
      <c r="K105" s="29">
        <f t="shared" si="32"/>
        <v>431.84162451688275</v>
      </c>
      <c r="L105" s="98">
        <v>449</v>
      </c>
      <c r="M105" s="58">
        <f t="shared" si="33"/>
        <v>0.9</v>
      </c>
      <c r="N105" s="44">
        <f t="shared" si="43"/>
        <v>-8.5999999999999943</v>
      </c>
      <c r="O105" s="44">
        <f t="shared" si="34"/>
        <v>304.56162451688283</v>
      </c>
      <c r="P105" s="54">
        <f t="shared" si="35"/>
        <v>21.004249966681574</v>
      </c>
      <c r="Q105" s="81">
        <f t="shared" si="20"/>
        <v>1480.5524003628818</v>
      </c>
      <c r="R105" s="44">
        <f t="shared" si="36"/>
        <v>-8.5999999999999943</v>
      </c>
      <c r="S105" s="44"/>
      <c r="T105" s="44">
        <f t="shared" si="37"/>
        <v>1353.2724003628819</v>
      </c>
      <c r="U105" s="64">
        <f t="shared" si="44"/>
        <v>93.329131059509095</v>
      </c>
      <c r="V105" s="65">
        <v>3000</v>
      </c>
      <c r="W105" s="44">
        <f t="shared" si="25"/>
        <v>37.10639143996918</v>
      </c>
      <c r="X105" s="44">
        <f t="shared" si="29"/>
        <v>17.899999999999995</v>
      </c>
      <c r="Y105" s="44">
        <f t="shared" si="30"/>
        <v>302.02639143996913</v>
      </c>
      <c r="Z105" s="44"/>
      <c r="AA105" s="81">
        <f t="shared" si="21"/>
        <v>1178.5954490660768</v>
      </c>
      <c r="AB105" s="44">
        <f t="shared" si="38"/>
        <v>-8.5999999999999943</v>
      </c>
      <c r="AC105" s="61">
        <f t="shared" si="39"/>
        <v>1051.3154490660768</v>
      </c>
      <c r="AD105" s="64">
        <f t="shared" si="40"/>
        <v>72.504513728694945</v>
      </c>
      <c r="AE105" s="81">
        <f t="shared" si="22"/>
        <v>834.45089291262263</v>
      </c>
      <c r="AF105" s="82">
        <f t="shared" si="41"/>
        <v>-8.5999999999999943</v>
      </c>
      <c r="AG105" s="44">
        <f t="shared" si="42"/>
        <v>707.17089291262278</v>
      </c>
      <c r="AH105" s="64">
        <f t="shared" si="45"/>
        <v>48.770406407767091</v>
      </c>
      <c r="AK105" s="21"/>
      <c r="AL105" s="98">
        <v>7.9558369999999998</v>
      </c>
      <c r="AM105" s="87"/>
    </row>
    <row r="106" spans="2:40" s="3" customFormat="1" x14ac:dyDescent="0.3">
      <c r="B106" s="1"/>
      <c r="C106" s="1"/>
      <c r="D106" s="1"/>
      <c r="F106" s="1"/>
      <c r="I106" s="90">
        <v>41000</v>
      </c>
      <c r="J106" s="29">
        <f t="shared" si="31"/>
        <v>25.476282202642079</v>
      </c>
      <c r="K106" s="29">
        <f t="shared" si="32"/>
        <v>437.1730025973381</v>
      </c>
      <c r="L106" s="97">
        <v>464</v>
      </c>
      <c r="M106" s="58">
        <f t="shared" si="33"/>
        <v>1.5</v>
      </c>
      <c r="N106" s="44">
        <f t="shared" si="43"/>
        <v>-7.0999999999999943</v>
      </c>
      <c r="O106" s="44">
        <f t="shared" si="34"/>
        <v>332.09300259733817</v>
      </c>
      <c r="P106" s="54">
        <f t="shared" si="35"/>
        <v>22.902965696368149</v>
      </c>
      <c r="Q106" s="81">
        <f t="shared" si="20"/>
        <v>1498.8308250587199</v>
      </c>
      <c r="R106" s="44">
        <f t="shared" si="36"/>
        <v>-7.0999999999999943</v>
      </c>
      <c r="S106" s="44"/>
      <c r="T106" s="44">
        <f t="shared" si="37"/>
        <v>1393.75082505872</v>
      </c>
      <c r="U106" s="64">
        <f t="shared" si="44"/>
        <v>96.120746555773792</v>
      </c>
      <c r="V106" s="65">
        <v>3100</v>
      </c>
      <c r="W106" s="44">
        <f t="shared" si="25"/>
        <v>38.34327115463482</v>
      </c>
      <c r="X106" s="44">
        <f t="shared" si="29"/>
        <v>19.399999999999995</v>
      </c>
      <c r="Y106" s="44">
        <f t="shared" si="30"/>
        <v>325.46327115463475</v>
      </c>
      <c r="Z106" s="44"/>
      <c r="AA106" s="81">
        <f t="shared" si="21"/>
        <v>1193.146010165658</v>
      </c>
      <c r="AB106" s="44">
        <f t="shared" si="38"/>
        <v>-7.0999999999999943</v>
      </c>
      <c r="AC106" s="61">
        <f t="shared" si="39"/>
        <v>1088.0660101656581</v>
      </c>
      <c r="AD106" s="64">
        <f t="shared" si="40"/>
        <v>75.039035183838493</v>
      </c>
      <c r="AE106" s="81">
        <f t="shared" si="22"/>
        <v>844.75275578808714</v>
      </c>
      <c r="AF106" s="82">
        <f t="shared" si="41"/>
        <v>-7.0999999999999943</v>
      </c>
      <c r="AG106" s="44">
        <f t="shared" si="42"/>
        <v>739.67275578808722</v>
      </c>
      <c r="AH106" s="64">
        <f t="shared" si="45"/>
        <v>51.011914192281878</v>
      </c>
      <c r="AK106" s="21"/>
      <c r="AL106" s="97">
        <v>8.2488930000000007</v>
      </c>
      <c r="AM106" s="87"/>
    </row>
    <row r="107" spans="2:40" s="3" customFormat="1" x14ac:dyDescent="0.3">
      <c r="B107" s="1"/>
      <c r="C107" s="1"/>
      <c r="D107" s="1"/>
      <c r="F107" s="1"/>
      <c r="I107" s="100">
        <v>41500</v>
      </c>
      <c r="J107" s="101">
        <f t="shared" si="31"/>
        <v>25.78696857096698</v>
      </c>
      <c r="K107" s="101">
        <f t="shared" si="32"/>
        <v>442.50438067779334</v>
      </c>
      <c r="L107" s="109">
        <v>469</v>
      </c>
      <c r="M107" s="59">
        <f t="shared" si="33"/>
        <v>0.5</v>
      </c>
      <c r="N107" s="59">
        <f t="shared" si="43"/>
        <v>-6.5999999999999943</v>
      </c>
      <c r="O107" s="59">
        <f t="shared" si="34"/>
        <v>344.82438067779344</v>
      </c>
      <c r="P107" s="99">
        <f t="shared" si="35"/>
        <v>23.780991770882306</v>
      </c>
      <c r="Q107" s="103">
        <f t="shared" si="20"/>
        <v>1517.1092497545576</v>
      </c>
      <c r="R107" s="59">
        <f t="shared" si="36"/>
        <v>-6.5999999999999943</v>
      </c>
      <c r="S107" s="59"/>
      <c r="T107" s="59">
        <f t="shared" si="37"/>
        <v>1419.4292497545578</v>
      </c>
      <c r="U107" s="63">
        <f t="shared" si="44"/>
        <v>97.891672396866056</v>
      </c>
      <c r="V107" s="59">
        <v>3200</v>
      </c>
      <c r="W107" s="59">
        <f t="shared" si="25"/>
        <v>39.580150869300468</v>
      </c>
      <c r="X107" s="59">
        <f t="shared" si="29"/>
        <v>19.899999999999995</v>
      </c>
      <c r="Y107" s="59">
        <f t="shared" si="30"/>
        <v>334.10015086930036</v>
      </c>
      <c r="Z107" s="59"/>
      <c r="AA107" s="103">
        <f t="shared" si="21"/>
        <v>1207.6965712652391</v>
      </c>
      <c r="AB107" s="59">
        <f t="shared" si="38"/>
        <v>-6.5999999999999943</v>
      </c>
      <c r="AC107" s="99">
        <f t="shared" si="39"/>
        <v>1110.0165712652392</v>
      </c>
      <c r="AD107" s="63">
        <f t="shared" si="40"/>
        <v>76.552866983809608</v>
      </c>
      <c r="AE107" s="103">
        <f t="shared" si="22"/>
        <v>855.05461866355142</v>
      </c>
      <c r="AF107" s="104">
        <f t="shared" si="41"/>
        <v>-6.5999999999999943</v>
      </c>
      <c r="AG107" s="59">
        <f t="shared" si="42"/>
        <v>757.37461866355147</v>
      </c>
      <c r="AH107" s="63">
        <f t="shared" si="45"/>
        <v>52.232732321624241</v>
      </c>
      <c r="AI107" s="106"/>
      <c r="AJ107" s="106"/>
      <c r="AK107" s="107"/>
      <c r="AL107" s="109">
        <v>8.9789130000000004</v>
      </c>
      <c r="AM107" s="108" t="s">
        <v>66</v>
      </c>
      <c r="AN107" s="113"/>
    </row>
    <row r="108" spans="2:40" s="3" customFormat="1" x14ac:dyDescent="0.3">
      <c r="B108" s="1"/>
      <c r="C108" s="1"/>
      <c r="D108" s="1"/>
      <c r="F108" s="1"/>
      <c r="I108" s="90">
        <v>42000</v>
      </c>
      <c r="J108" s="29">
        <f t="shared" si="31"/>
        <v>26.097654939291886</v>
      </c>
      <c r="K108" s="29">
        <f t="shared" si="32"/>
        <v>447.83575875824874</v>
      </c>
      <c r="L108" s="97">
        <v>478</v>
      </c>
      <c r="M108" s="58">
        <f t="shared" si="33"/>
        <v>0.9</v>
      </c>
      <c r="N108" s="44">
        <f t="shared" si="43"/>
        <v>-5.699999999999994</v>
      </c>
      <c r="O108" s="44">
        <f t="shared" si="34"/>
        <v>363.47575875824884</v>
      </c>
      <c r="P108" s="54">
        <f t="shared" si="35"/>
        <v>25.067293707465439</v>
      </c>
      <c r="Q108" s="81">
        <f t="shared" ref="Q108:Q118" si="46">+($I108/1609.34)*5280/(100)*$D$47</f>
        <v>1535.3876744503959</v>
      </c>
      <c r="R108" s="44">
        <f t="shared" si="36"/>
        <v>-5.699999999999994</v>
      </c>
      <c r="S108" s="44"/>
      <c r="T108" s="44">
        <f t="shared" si="37"/>
        <v>1451.027674450396</v>
      </c>
      <c r="U108" s="64">
        <f t="shared" si="44"/>
        <v>100.07087410002731</v>
      </c>
      <c r="V108" s="65">
        <v>3300</v>
      </c>
      <c r="W108" s="44">
        <f t="shared" si="25"/>
        <v>40.817030583966101</v>
      </c>
      <c r="X108" s="44">
        <f t="shared" si="29"/>
        <v>20.799999999999994</v>
      </c>
      <c r="Y108" s="44">
        <f t="shared" si="30"/>
        <v>348.65703058396605</v>
      </c>
      <c r="Z108" s="44"/>
      <c r="AA108" s="81">
        <f t="shared" ref="AA108:AA118" si="47">+($I108/1609.34)*5280/(100)*$D$45</f>
        <v>1222.2471323648206</v>
      </c>
      <c r="AB108" s="44">
        <f t="shared" si="38"/>
        <v>-5.699999999999994</v>
      </c>
      <c r="AC108" s="61">
        <f t="shared" si="39"/>
        <v>1137.8871323648207</v>
      </c>
      <c r="AD108" s="64">
        <f t="shared" si="40"/>
        <v>78.474974645849699</v>
      </c>
      <c r="AE108" s="81">
        <f t="shared" ref="AE108:AE118" si="48">+($I108/1609.34)*5280/(100)*$D$44</f>
        <v>865.35648153901604</v>
      </c>
      <c r="AF108" s="82">
        <f t="shared" si="41"/>
        <v>-5.699999999999994</v>
      </c>
      <c r="AG108" s="44">
        <f t="shared" si="42"/>
        <v>780.99648153901614</v>
      </c>
      <c r="AH108" s="64">
        <f t="shared" si="45"/>
        <v>53.861826313035593</v>
      </c>
      <c r="AK108" s="21"/>
      <c r="AL108" s="97">
        <v>9.7244659999999996</v>
      </c>
      <c r="AM108" s="87"/>
    </row>
    <row r="109" spans="2:40" s="3" customFormat="1" x14ac:dyDescent="0.3">
      <c r="B109" s="1"/>
      <c r="C109" s="1"/>
      <c r="D109" s="1"/>
      <c r="F109" s="1"/>
      <c r="I109" s="90">
        <v>42500</v>
      </c>
      <c r="J109" s="29">
        <f t="shared" si="31"/>
        <v>26.408341307616787</v>
      </c>
      <c r="K109" s="29">
        <f t="shared" si="32"/>
        <v>453.16713683870404</v>
      </c>
      <c r="L109" s="98">
        <v>486</v>
      </c>
      <c r="M109" s="58">
        <f t="shared" si="33"/>
        <v>0.8</v>
      </c>
      <c r="N109" s="44">
        <f t="shared" si="43"/>
        <v>-4.8999999999999941</v>
      </c>
      <c r="O109" s="44">
        <f t="shared" si="34"/>
        <v>380.64713683870411</v>
      </c>
      <c r="P109" s="54">
        <f t="shared" si="35"/>
        <v>26.251526678531317</v>
      </c>
      <c r="Q109" s="81">
        <f t="shared" si="46"/>
        <v>1553.6660991462338</v>
      </c>
      <c r="R109" s="44">
        <f t="shared" si="36"/>
        <v>-4.8999999999999941</v>
      </c>
      <c r="S109" s="44"/>
      <c r="T109" s="44">
        <f t="shared" si="37"/>
        <v>1481.1460991462338</v>
      </c>
      <c r="U109" s="64">
        <f t="shared" si="44"/>
        <v>102.1480068376713</v>
      </c>
      <c r="V109" s="65">
        <v>3400</v>
      </c>
      <c r="W109" s="44">
        <f t="shared" si="25"/>
        <v>42.053910298631742</v>
      </c>
      <c r="X109" s="44">
        <f t="shared" si="29"/>
        <v>21.599999999999994</v>
      </c>
      <c r="Y109" s="44">
        <f t="shared" si="30"/>
        <v>361.73391029863171</v>
      </c>
      <c r="Z109" s="44"/>
      <c r="AA109" s="81">
        <f t="shared" si="47"/>
        <v>1236.7976934644016</v>
      </c>
      <c r="AB109" s="44">
        <f t="shared" si="38"/>
        <v>-4.8999999999999941</v>
      </c>
      <c r="AC109" s="61">
        <f t="shared" si="39"/>
        <v>1164.2776934644016</v>
      </c>
      <c r="AD109" s="64">
        <f t="shared" si="40"/>
        <v>80.295013342372528</v>
      </c>
      <c r="AE109" s="81">
        <f t="shared" si="48"/>
        <v>875.65834441448044</v>
      </c>
      <c r="AF109" s="82">
        <f t="shared" si="41"/>
        <v>-4.8999999999999941</v>
      </c>
      <c r="AG109" s="44">
        <f t="shared" si="42"/>
        <v>803.13834441448057</v>
      </c>
      <c r="AH109" s="64">
        <f t="shared" si="45"/>
        <v>55.388851338929697</v>
      </c>
      <c r="AK109" s="21"/>
      <c r="AL109" s="98">
        <v>10.450430000000001</v>
      </c>
      <c r="AM109" s="87"/>
    </row>
    <row r="110" spans="2:40" s="3" customFormat="1" x14ac:dyDescent="0.3">
      <c r="B110" s="1"/>
      <c r="C110" s="1"/>
      <c r="D110" s="1"/>
      <c r="F110" s="1"/>
      <c r="I110" s="90">
        <v>43000</v>
      </c>
      <c r="J110" s="29">
        <f t="shared" si="31"/>
        <v>26.719027675941692</v>
      </c>
      <c r="K110" s="29">
        <f t="shared" si="32"/>
        <v>458.49851491915945</v>
      </c>
      <c r="L110" s="97">
        <v>490</v>
      </c>
      <c r="M110" s="58">
        <f t="shared" si="33"/>
        <v>0.4</v>
      </c>
      <c r="N110" s="44">
        <f t="shared" si="43"/>
        <v>-4.4999999999999938</v>
      </c>
      <c r="O110" s="44">
        <f t="shared" si="34"/>
        <v>391.89851491915954</v>
      </c>
      <c r="P110" s="54">
        <f t="shared" si="35"/>
        <v>27.027483787528244</v>
      </c>
      <c r="Q110" s="81">
        <f t="shared" si="46"/>
        <v>1571.9445238420719</v>
      </c>
      <c r="R110" s="44">
        <f t="shared" si="36"/>
        <v>-4.4999999999999938</v>
      </c>
      <c r="S110" s="44"/>
      <c r="T110" s="44">
        <f t="shared" si="37"/>
        <v>1505.344523842072</v>
      </c>
      <c r="U110" s="64">
        <f t="shared" si="44"/>
        <v>103.81686371324635</v>
      </c>
      <c r="V110" s="65">
        <v>3500</v>
      </c>
      <c r="W110" s="44">
        <f t="shared" si="25"/>
        <v>43.290790013297382</v>
      </c>
      <c r="X110" s="44">
        <f t="shared" si="29"/>
        <v>21.999999999999993</v>
      </c>
      <c r="Y110" s="44">
        <f t="shared" si="30"/>
        <v>368.89079001329731</v>
      </c>
      <c r="Z110" s="44"/>
      <c r="AA110" s="81">
        <f t="shared" si="47"/>
        <v>1251.3482545639829</v>
      </c>
      <c r="AB110" s="44">
        <f t="shared" si="38"/>
        <v>-4.4999999999999938</v>
      </c>
      <c r="AC110" s="61">
        <f t="shared" si="39"/>
        <v>1184.748254563983</v>
      </c>
      <c r="AD110" s="64">
        <f t="shared" si="40"/>
        <v>81.706776176826409</v>
      </c>
      <c r="AE110" s="81">
        <f t="shared" si="48"/>
        <v>885.96020728994495</v>
      </c>
      <c r="AF110" s="82">
        <f t="shared" si="41"/>
        <v>-4.4999999999999938</v>
      </c>
      <c r="AG110" s="44">
        <f t="shared" si="42"/>
        <v>819.36020728994504</v>
      </c>
      <c r="AH110" s="64">
        <f t="shared" si="45"/>
        <v>56.507600502754833</v>
      </c>
      <c r="AK110" s="21"/>
      <c r="AL110" s="97">
        <v>10.46407</v>
      </c>
      <c r="AM110" s="87"/>
    </row>
    <row r="111" spans="2:40" s="3" customFormat="1" x14ac:dyDescent="0.3">
      <c r="B111" s="1"/>
      <c r="C111" s="1"/>
      <c r="D111" s="1"/>
      <c r="F111" s="1"/>
      <c r="I111" s="90">
        <v>43500</v>
      </c>
      <c r="J111" s="29">
        <f t="shared" si="31"/>
        <v>27.029714044266594</v>
      </c>
      <c r="K111" s="29">
        <f t="shared" si="32"/>
        <v>463.82989299961474</v>
      </c>
      <c r="L111" s="98">
        <v>508</v>
      </c>
      <c r="M111" s="58">
        <f t="shared" si="33"/>
        <v>1.8</v>
      </c>
      <c r="N111" s="44">
        <f t="shared" si="43"/>
        <v>-2.699999999999994</v>
      </c>
      <c r="O111" s="44">
        <f t="shared" si="34"/>
        <v>423.86989299961482</v>
      </c>
      <c r="P111" s="54">
        <f t="shared" si="35"/>
        <v>29.23240641376654</v>
      </c>
      <c r="Q111" s="81">
        <f t="shared" si="46"/>
        <v>1590.2229485379098</v>
      </c>
      <c r="R111" s="44">
        <f t="shared" si="36"/>
        <v>-2.699999999999994</v>
      </c>
      <c r="S111" s="44"/>
      <c r="T111" s="44">
        <f t="shared" si="37"/>
        <v>1550.26294853791</v>
      </c>
      <c r="U111" s="64">
        <f t="shared" si="44"/>
        <v>106.91468610606276</v>
      </c>
      <c r="V111" s="65">
        <v>3600</v>
      </c>
      <c r="W111" s="44">
        <f t="shared" si="25"/>
        <v>44.527669727963016</v>
      </c>
      <c r="X111" s="44">
        <f t="shared" si="29"/>
        <v>23.799999999999994</v>
      </c>
      <c r="Y111" s="44">
        <f t="shared" si="30"/>
        <v>396.76766972796293</v>
      </c>
      <c r="Z111" s="44"/>
      <c r="AA111" s="81">
        <f t="shared" si="47"/>
        <v>1265.8988156635639</v>
      </c>
      <c r="AB111" s="44">
        <f t="shared" si="38"/>
        <v>-2.699999999999994</v>
      </c>
      <c r="AC111" s="61">
        <f t="shared" si="39"/>
        <v>1225.9388156635641</v>
      </c>
      <c r="AD111" s="64">
        <f t="shared" si="40"/>
        <v>84.547504528521671</v>
      </c>
      <c r="AE111" s="81">
        <f t="shared" si="48"/>
        <v>896.26207016540934</v>
      </c>
      <c r="AF111" s="82">
        <f t="shared" si="41"/>
        <v>-2.699999999999994</v>
      </c>
      <c r="AG111" s="44">
        <f t="shared" si="42"/>
        <v>856.30207016540942</v>
      </c>
      <c r="AH111" s="64">
        <f t="shared" si="45"/>
        <v>59.055315183821342</v>
      </c>
      <c r="AK111" s="21"/>
      <c r="AL111" s="98">
        <v>10.49269</v>
      </c>
      <c r="AM111" s="87"/>
    </row>
    <row r="112" spans="2:40" s="3" customFormat="1" x14ac:dyDescent="0.3">
      <c r="B112" s="1"/>
      <c r="C112" s="1"/>
      <c r="D112" s="1"/>
      <c r="F112" s="1"/>
      <c r="I112" s="100">
        <v>44000</v>
      </c>
      <c r="J112" s="101">
        <f t="shared" si="31"/>
        <v>27.340400412591499</v>
      </c>
      <c r="K112" s="101">
        <f t="shared" si="32"/>
        <v>469.16127108007015</v>
      </c>
      <c r="L112" s="102">
        <v>521</v>
      </c>
      <c r="M112" s="59">
        <f t="shared" si="33"/>
        <v>1.3</v>
      </c>
      <c r="N112" s="59">
        <f t="shared" si="43"/>
        <v>-1.3999999999999939</v>
      </c>
      <c r="O112" s="59">
        <f t="shared" si="34"/>
        <v>448.44127108007024</v>
      </c>
      <c r="P112" s="99">
        <f t="shared" si="35"/>
        <v>30.926984212418638</v>
      </c>
      <c r="Q112" s="103">
        <f t="shared" si="46"/>
        <v>1608.5013732337482</v>
      </c>
      <c r="R112" s="59">
        <f t="shared" si="36"/>
        <v>-1.3999999999999939</v>
      </c>
      <c r="S112" s="59"/>
      <c r="T112" s="59">
        <f t="shared" si="37"/>
        <v>1587.7813732337484</v>
      </c>
      <c r="U112" s="63">
        <f t="shared" si="44"/>
        <v>109.50216367129299</v>
      </c>
      <c r="V112" s="59">
        <v>3700</v>
      </c>
      <c r="W112" s="59">
        <f t="shared" si="25"/>
        <v>45.764549442628656</v>
      </c>
      <c r="X112" s="59">
        <f t="shared" si="29"/>
        <v>25.099999999999994</v>
      </c>
      <c r="Y112" s="59">
        <f t="shared" si="30"/>
        <v>417.24454944262862</v>
      </c>
      <c r="Z112" s="59"/>
      <c r="AA112" s="103">
        <f t="shared" si="47"/>
        <v>1280.4493767631454</v>
      </c>
      <c r="AB112" s="59">
        <f t="shared" si="38"/>
        <v>-1.3999999999999939</v>
      </c>
      <c r="AC112" s="99">
        <f t="shared" si="39"/>
        <v>1259.7293767631456</v>
      </c>
      <c r="AD112" s="63">
        <f t="shared" si="40"/>
        <v>86.877888052630738</v>
      </c>
      <c r="AE112" s="103">
        <f t="shared" si="48"/>
        <v>906.56393304087408</v>
      </c>
      <c r="AF112" s="104">
        <f t="shared" si="41"/>
        <v>-1.3999999999999939</v>
      </c>
      <c r="AG112" s="59">
        <f t="shared" si="42"/>
        <v>885.84393304087416</v>
      </c>
      <c r="AH112" s="63">
        <f t="shared" si="45"/>
        <v>61.092685037301663</v>
      </c>
      <c r="AI112" s="106"/>
      <c r="AJ112" s="106"/>
      <c r="AK112" s="107"/>
      <c r="AL112" s="102">
        <v>10.915649999999999</v>
      </c>
      <c r="AM112" s="108" t="s">
        <v>67</v>
      </c>
      <c r="AN112" s="110" t="s">
        <v>68</v>
      </c>
    </row>
    <row r="113" spans="2:39" s="3" customFormat="1" x14ac:dyDescent="0.3">
      <c r="B113" s="1"/>
      <c r="C113" s="1"/>
      <c r="D113" s="1"/>
      <c r="F113" s="1"/>
      <c r="I113" s="90">
        <v>44500</v>
      </c>
      <c r="J113" s="29">
        <f t="shared" si="31"/>
        <v>27.651086780916401</v>
      </c>
      <c r="K113" s="29">
        <f t="shared" si="32"/>
        <v>474.49264916052545</v>
      </c>
      <c r="L113" s="98">
        <v>531</v>
      </c>
      <c r="M113" s="58">
        <f t="shared" si="33"/>
        <v>1</v>
      </c>
      <c r="N113" s="44">
        <f t="shared" si="43"/>
        <v>-0.39999999999999392</v>
      </c>
      <c r="O113" s="44">
        <f t="shared" si="34"/>
        <v>468.57264916052554</v>
      </c>
      <c r="P113" s="54">
        <f t="shared" si="35"/>
        <v>32.315355114519001</v>
      </c>
      <c r="Q113" s="81">
        <f t="shared" si="46"/>
        <v>1626.779797929586</v>
      </c>
      <c r="R113" s="44">
        <f t="shared" si="36"/>
        <v>-0.39999999999999392</v>
      </c>
      <c r="S113" s="44"/>
      <c r="T113" s="44">
        <f t="shared" si="37"/>
        <v>1620.8597979295862</v>
      </c>
      <c r="U113" s="64">
        <f t="shared" si="44"/>
        <v>111.78343433997146</v>
      </c>
      <c r="V113" s="65">
        <v>3800</v>
      </c>
      <c r="W113" s="44">
        <f t="shared" si="25"/>
        <v>47.001429157294297</v>
      </c>
      <c r="X113" s="44">
        <f t="shared" si="29"/>
        <v>26.099999999999994</v>
      </c>
      <c r="Y113" s="44">
        <f t="shared" si="30"/>
        <v>433.28142915729421</v>
      </c>
      <c r="Z113" s="44"/>
      <c r="AA113" s="81">
        <f t="shared" si="47"/>
        <v>1294.9999378627265</v>
      </c>
      <c r="AB113" s="44">
        <f t="shared" si="38"/>
        <v>-0.39999999999999392</v>
      </c>
      <c r="AC113" s="61">
        <f t="shared" si="39"/>
        <v>1289.0799378627266</v>
      </c>
      <c r="AD113" s="64">
        <f t="shared" si="40"/>
        <v>88.902064680188047</v>
      </c>
      <c r="AE113" s="81">
        <f t="shared" si="48"/>
        <v>916.86579591633847</v>
      </c>
      <c r="AF113" s="82">
        <f t="shared" si="41"/>
        <v>-0.39999999999999392</v>
      </c>
      <c r="AG113" s="44">
        <f t="shared" si="42"/>
        <v>910.94579591633851</v>
      </c>
      <c r="AH113" s="64">
        <f t="shared" si="45"/>
        <v>62.823847994230242</v>
      </c>
      <c r="AK113" s="21"/>
      <c r="AL113" s="98">
        <v>11.332689999999999</v>
      </c>
      <c r="AM113" s="87"/>
    </row>
    <row r="114" spans="2:39" s="3" customFormat="1" x14ac:dyDescent="0.3">
      <c r="B114" s="1"/>
      <c r="C114" s="1"/>
      <c r="D114" s="1"/>
      <c r="F114" s="1"/>
      <c r="I114" s="90">
        <v>45000</v>
      </c>
      <c r="J114" s="29">
        <f t="shared" si="31"/>
        <v>27.961773149241306</v>
      </c>
      <c r="K114" s="29">
        <f t="shared" si="32"/>
        <v>479.82402724098085</v>
      </c>
      <c r="L114" s="97">
        <v>545</v>
      </c>
      <c r="M114" s="58">
        <f t="shared" si="33"/>
        <v>1.4</v>
      </c>
      <c r="N114" s="44">
        <f t="shared" si="43"/>
        <v>1.000000000000006</v>
      </c>
      <c r="O114" s="44">
        <f t="shared" si="34"/>
        <v>494.62402724098092</v>
      </c>
      <c r="P114" s="54">
        <f t="shared" si="35"/>
        <v>34.112001878688339</v>
      </c>
      <c r="Q114" s="81">
        <f t="shared" si="46"/>
        <v>1645.0582226254242</v>
      </c>
      <c r="R114" s="44">
        <f t="shared" si="36"/>
        <v>1.000000000000006</v>
      </c>
      <c r="S114" s="44"/>
      <c r="T114" s="44">
        <f t="shared" si="37"/>
        <v>1659.8582226254243</v>
      </c>
      <c r="U114" s="64">
        <f t="shared" si="44"/>
        <v>114.47298087071891</v>
      </c>
      <c r="V114" s="65">
        <v>3900</v>
      </c>
      <c r="W114" s="44">
        <f t="shared" si="25"/>
        <v>48.238308871959944</v>
      </c>
      <c r="X114" s="44">
        <f t="shared" si="29"/>
        <v>27.499999999999993</v>
      </c>
      <c r="Y114" s="44">
        <f t="shared" si="30"/>
        <v>455.23830887195982</v>
      </c>
      <c r="Z114" s="44"/>
      <c r="AA114" s="81">
        <f t="shared" si="47"/>
        <v>1309.5504989623078</v>
      </c>
      <c r="AB114" s="44">
        <f t="shared" si="38"/>
        <v>1.000000000000006</v>
      </c>
      <c r="AC114" s="61">
        <f t="shared" si="39"/>
        <v>1324.3504989623079</v>
      </c>
      <c r="AD114" s="64">
        <f t="shared" si="40"/>
        <v>91.334517169814347</v>
      </c>
      <c r="AE114" s="81">
        <f t="shared" si="48"/>
        <v>927.16765879180298</v>
      </c>
      <c r="AF114" s="82">
        <f t="shared" si="41"/>
        <v>1.000000000000006</v>
      </c>
      <c r="AG114" s="44">
        <f t="shared" si="42"/>
        <v>941.96765879180305</v>
      </c>
      <c r="AH114" s="64">
        <f t="shared" si="45"/>
        <v>64.963286813227796</v>
      </c>
      <c r="AK114" s="21"/>
      <c r="AL114" s="97">
        <v>11.9856</v>
      </c>
      <c r="AM114" s="87"/>
    </row>
    <row r="115" spans="2:39" s="3" customFormat="1" x14ac:dyDescent="0.3">
      <c r="B115" s="1"/>
      <c r="C115" s="1"/>
      <c r="D115" s="1"/>
      <c r="F115" s="1"/>
      <c r="I115" s="90">
        <v>45500</v>
      </c>
      <c r="J115" s="29">
        <f t="shared" si="31"/>
        <v>28.272459517566208</v>
      </c>
      <c r="K115" s="29">
        <f t="shared" si="32"/>
        <v>485.15540532143615</v>
      </c>
      <c r="L115" s="98">
        <v>557</v>
      </c>
      <c r="M115" s="58">
        <f t="shared" si="33"/>
        <v>1.2</v>
      </c>
      <c r="N115" s="44">
        <f t="shared" si="43"/>
        <v>2.200000000000006</v>
      </c>
      <c r="O115" s="44">
        <f t="shared" si="34"/>
        <v>517.71540532143626</v>
      </c>
      <c r="P115" s="54">
        <f t="shared" si="35"/>
        <v>35.70451071182319</v>
      </c>
      <c r="Q115" s="81">
        <f t="shared" si="46"/>
        <v>1663.336647321262</v>
      </c>
      <c r="R115" s="44">
        <f t="shared" si="36"/>
        <v>2.200000000000006</v>
      </c>
      <c r="S115" s="44"/>
      <c r="T115" s="44">
        <f t="shared" si="37"/>
        <v>1695.8966473212622</v>
      </c>
      <c r="U115" s="64">
        <f t="shared" si="44"/>
        <v>116.95838947043188</v>
      </c>
      <c r="V115" s="65">
        <v>4000</v>
      </c>
      <c r="W115" s="44">
        <f t="shared" si="25"/>
        <v>49.475188586625578</v>
      </c>
      <c r="X115" s="44">
        <f t="shared" si="29"/>
        <v>28.699999999999992</v>
      </c>
      <c r="Y115" s="44">
        <f t="shared" si="30"/>
        <v>474.23518858662544</v>
      </c>
      <c r="Z115" s="44"/>
      <c r="AA115" s="81">
        <f t="shared" si="47"/>
        <v>1324.1010600618888</v>
      </c>
      <c r="AB115" s="44">
        <f t="shared" si="38"/>
        <v>2.200000000000006</v>
      </c>
      <c r="AC115" s="61">
        <f t="shared" si="39"/>
        <v>1356.661060061889</v>
      </c>
      <c r="AD115" s="64">
        <f t="shared" si="40"/>
        <v>93.562831728406138</v>
      </c>
      <c r="AE115" s="81">
        <f t="shared" si="48"/>
        <v>937.46952166726737</v>
      </c>
      <c r="AF115" s="82">
        <f t="shared" si="41"/>
        <v>2.200000000000006</v>
      </c>
      <c r="AG115" s="44">
        <f t="shared" si="42"/>
        <v>970.02952166726743</v>
      </c>
      <c r="AH115" s="64">
        <f t="shared" si="45"/>
        <v>66.898587701190863</v>
      </c>
      <c r="AK115" s="21"/>
      <c r="AL115" s="98">
        <v>12.14115</v>
      </c>
      <c r="AM115" s="87"/>
    </row>
    <row r="116" spans="2:39" s="3" customFormat="1" x14ac:dyDescent="0.3">
      <c r="B116" s="1"/>
      <c r="C116" s="1"/>
      <c r="D116" s="1"/>
      <c r="F116" s="1"/>
      <c r="I116" s="90">
        <v>46000</v>
      </c>
      <c r="J116" s="29">
        <f t="shared" si="31"/>
        <v>28.583145885891113</v>
      </c>
      <c r="K116" s="29">
        <f t="shared" si="32"/>
        <v>490.48678340189156</v>
      </c>
      <c r="L116" s="97">
        <v>567</v>
      </c>
      <c r="M116" s="58">
        <f t="shared" si="33"/>
        <v>1</v>
      </c>
      <c r="N116" s="44">
        <f t="shared" si="43"/>
        <v>3.200000000000006</v>
      </c>
      <c r="O116" s="44">
        <f t="shared" si="34"/>
        <v>537.84678340189168</v>
      </c>
      <c r="P116" s="54">
        <f t="shared" si="35"/>
        <v>37.092881613923566</v>
      </c>
      <c r="Q116" s="81">
        <f t="shared" si="46"/>
        <v>1681.6150720171004</v>
      </c>
      <c r="R116" s="44">
        <f t="shared" si="36"/>
        <v>3.200000000000006</v>
      </c>
      <c r="S116" s="44"/>
      <c r="T116" s="44">
        <f t="shared" si="37"/>
        <v>1728.9750720171005</v>
      </c>
      <c r="U116" s="64">
        <f t="shared" si="44"/>
        <v>119.23966013911038</v>
      </c>
      <c r="V116" s="65">
        <v>4100</v>
      </c>
      <c r="W116" s="44">
        <f t="shared" si="25"/>
        <v>50.712068301291218</v>
      </c>
      <c r="X116" s="44">
        <f t="shared" si="29"/>
        <v>29.699999999999992</v>
      </c>
      <c r="Y116" s="44">
        <f t="shared" si="30"/>
        <v>490.27206830129109</v>
      </c>
      <c r="Z116" s="44"/>
      <c r="AA116" s="81">
        <f t="shared" si="47"/>
        <v>1338.6516211614703</v>
      </c>
      <c r="AB116" s="44">
        <f t="shared" si="38"/>
        <v>3.200000000000006</v>
      </c>
      <c r="AC116" s="61">
        <f t="shared" si="39"/>
        <v>1386.0116211614704</v>
      </c>
      <c r="AD116" s="64">
        <f t="shared" si="40"/>
        <v>95.587008355963476</v>
      </c>
      <c r="AE116" s="81">
        <f t="shared" si="48"/>
        <v>947.77138454273199</v>
      </c>
      <c r="AF116" s="82">
        <f t="shared" si="41"/>
        <v>3.200000000000006</v>
      </c>
      <c r="AG116" s="44">
        <f t="shared" si="42"/>
        <v>995.13138454273212</v>
      </c>
      <c r="AH116" s="64">
        <f t="shared" si="45"/>
        <v>68.629750658119463</v>
      </c>
      <c r="AK116" s="21"/>
      <c r="AL116" s="97">
        <v>12.16039</v>
      </c>
      <c r="AM116" s="87"/>
    </row>
    <row r="117" spans="2:39" s="3" customFormat="1" x14ac:dyDescent="0.3">
      <c r="B117" s="1"/>
      <c r="C117" s="1"/>
      <c r="D117" s="1"/>
      <c r="F117" s="1"/>
      <c r="I117" s="90">
        <v>46500</v>
      </c>
      <c r="J117" s="29">
        <f t="shared" si="31"/>
        <v>28.893832254216015</v>
      </c>
      <c r="K117" s="29">
        <f t="shared" si="32"/>
        <v>495.8181614823468</v>
      </c>
      <c r="L117" s="98">
        <v>579</v>
      </c>
      <c r="M117" s="58">
        <f t="shared" si="33"/>
        <v>1.2</v>
      </c>
      <c r="N117" s="44">
        <f t="shared" si="43"/>
        <v>4.4000000000000057</v>
      </c>
      <c r="O117" s="44">
        <f t="shared" si="34"/>
        <v>560.93816148234691</v>
      </c>
      <c r="P117" s="54">
        <f t="shared" si="35"/>
        <v>38.68539044705841</v>
      </c>
      <c r="Q117" s="81">
        <f t="shared" si="46"/>
        <v>1699.893496712938</v>
      </c>
      <c r="R117" s="44">
        <f t="shared" si="36"/>
        <v>4.4000000000000057</v>
      </c>
      <c r="S117" s="44"/>
      <c r="T117" s="44">
        <f t="shared" si="37"/>
        <v>1765.0134967129381</v>
      </c>
      <c r="U117" s="64">
        <f t="shared" si="44"/>
        <v>121.72506873882332</v>
      </c>
      <c r="V117" s="65">
        <v>4200</v>
      </c>
      <c r="W117" s="44">
        <f t="shared" si="25"/>
        <v>51.948948015956866</v>
      </c>
      <c r="X117" s="44">
        <f t="shared" si="29"/>
        <v>30.899999999999991</v>
      </c>
      <c r="Y117" s="44">
        <f t="shared" si="30"/>
        <v>509.26894801595677</v>
      </c>
      <c r="Z117" s="44"/>
      <c r="AA117" s="81">
        <f t="shared" si="47"/>
        <v>1353.2021822610511</v>
      </c>
      <c r="AB117" s="44">
        <f t="shared" si="38"/>
        <v>4.4000000000000057</v>
      </c>
      <c r="AC117" s="61">
        <f t="shared" si="39"/>
        <v>1418.3221822610512</v>
      </c>
      <c r="AD117" s="64">
        <f t="shared" si="40"/>
        <v>97.815322914555253</v>
      </c>
      <c r="AE117" s="81">
        <f t="shared" si="48"/>
        <v>958.07324741819627</v>
      </c>
      <c r="AF117" s="82">
        <f t="shared" si="41"/>
        <v>4.4000000000000057</v>
      </c>
      <c r="AG117" s="44">
        <f t="shared" si="42"/>
        <v>1023.1932474181964</v>
      </c>
      <c r="AH117" s="64">
        <f t="shared" si="45"/>
        <v>70.565051546082515</v>
      </c>
      <c r="AK117" s="21"/>
      <c r="AL117" s="98">
        <v>12.18688</v>
      </c>
      <c r="AM117" s="87"/>
    </row>
    <row r="118" spans="2:39" s="3" customFormat="1" x14ac:dyDescent="0.3">
      <c r="B118" s="1"/>
      <c r="C118" s="1"/>
      <c r="D118" s="1"/>
      <c r="F118" s="1"/>
      <c r="I118" s="90">
        <v>46700</v>
      </c>
      <c r="J118" s="29">
        <f t="shared" si="31"/>
        <v>29.018106801545976</v>
      </c>
      <c r="K118" s="29">
        <f t="shared" si="32"/>
        <v>497.95071271452889</v>
      </c>
      <c r="L118" s="97">
        <v>586</v>
      </c>
      <c r="M118" s="58">
        <f t="shared" si="33"/>
        <v>0.7</v>
      </c>
      <c r="N118" s="44">
        <f t="shared" si="43"/>
        <v>5.1000000000000059</v>
      </c>
      <c r="O118" s="44">
        <f t="shared" si="34"/>
        <v>573.43071271452902</v>
      </c>
      <c r="P118" s="54">
        <f t="shared" si="35"/>
        <v>39.54694570445028</v>
      </c>
      <c r="Q118" s="81">
        <f t="shared" si="46"/>
        <v>1707.2048665912732</v>
      </c>
      <c r="R118" s="44">
        <f t="shared" si="36"/>
        <v>5.1000000000000059</v>
      </c>
      <c r="S118" s="44"/>
      <c r="T118" s="44">
        <f t="shared" si="37"/>
        <v>1782.6848665912732</v>
      </c>
      <c r="U118" s="64">
        <f t="shared" si="44"/>
        <v>122.94378390284643</v>
      </c>
      <c r="V118" s="65">
        <v>4300</v>
      </c>
      <c r="W118" s="44">
        <f t="shared" si="25"/>
        <v>53.185827730622492</v>
      </c>
      <c r="X118" s="44">
        <f t="shared" si="29"/>
        <v>31.599999999999991</v>
      </c>
      <c r="Y118" s="44">
        <f t="shared" si="30"/>
        <v>520.86582773062241</v>
      </c>
      <c r="Z118" s="44"/>
      <c r="AA118" s="81">
        <f t="shared" si="47"/>
        <v>1359.0224067008835</v>
      </c>
      <c r="AB118" s="44">
        <f t="shared" si="38"/>
        <v>5.1000000000000059</v>
      </c>
      <c r="AC118" s="61">
        <f t="shared" si="39"/>
        <v>1434.5024067008835</v>
      </c>
      <c r="AD118" s="64">
        <f t="shared" si="40"/>
        <v>98.931200462129894</v>
      </c>
      <c r="AE118" s="81">
        <f t="shared" si="48"/>
        <v>962.19399256838199</v>
      </c>
      <c r="AF118" s="82">
        <f t="shared" si="41"/>
        <v>5.1000000000000059</v>
      </c>
      <c r="AG118" s="44">
        <f t="shared" si="42"/>
        <v>1037.6739925683821</v>
      </c>
      <c r="AH118" s="64">
        <f t="shared" si="45"/>
        <v>71.563723625405657</v>
      </c>
      <c r="AK118" s="21"/>
      <c r="AL118" s="97">
        <v>12.377980000000001</v>
      </c>
      <c r="AM118" s="87"/>
    </row>
    <row r="119" spans="2:39" x14ac:dyDescent="0.3">
      <c r="I119" s="89"/>
      <c r="J119" s="15"/>
      <c r="K119" s="29"/>
      <c r="L119" s="89"/>
      <c r="M119" s="58"/>
      <c r="N119" s="44"/>
      <c r="O119" s="44"/>
      <c r="P119" s="65"/>
    </row>
    <row r="120" spans="2:39" x14ac:dyDescent="0.3">
      <c r="I120" s="89"/>
      <c r="J120" s="15"/>
      <c r="K120" s="29"/>
      <c r="L120" s="89"/>
      <c r="M120" s="58"/>
      <c r="N120" s="44"/>
      <c r="O120" s="44"/>
      <c r="P120" s="65"/>
    </row>
    <row r="121" spans="2:39" x14ac:dyDescent="0.3">
      <c r="I121" s="89"/>
      <c r="J121" s="15"/>
      <c r="K121" s="29"/>
      <c r="L121" s="89"/>
      <c r="M121" s="58"/>
      <c r="N121" s="44"/>
      <c r="O121" s="44"/>
      <c r="P121" s="65"/>
      <c r="AL121" s="93">
        <f>+P118/9</f>
        <v>4.3941050782722533</v>
      </c>
    </row>
    <row r="122" spans="2:39" x14ac:dyDescent="0.3">
      <c r="I122" s="89"/>
      <c r="J122" s="15"/>
      <c r="K122" s="29"/>
      <c r="L122" s="89"/>
      <c r="M122" s="58"/>
      <c r="N122" s="44"/>
      <c r="O122" s="44"/>
      <c r="P122" s="65"/>
      <c r="AL122" s="93">
        <f>+P118/10</f>
        <v>3.954694570445028</v>
      </c>
    </row>
    <row r="123" spans="2:39" x14ac:dyDescent="0.3">
      <c r="I123" s="89"/>
      <c r="J123" s="15"/>
      <c r="K123" s="29"/>
      <c r="L123" s="89"/>
      <c r="M123" s="58"/>
      <c r="N123" s="44"/>
      <c r="O123" s="44"/>
      <c r="P123" s="65"/>
      <c r="AL123" s="93">
        <f>+P118/8</f>
        <v>4.943368213056285</v>
      </c>
    </row>
    <row r="124" spans="2:39" x14ac:dyDescent="0.3">
      <c r="I124" s="89"/>
      <c r="J124" s="15"/>
      <c r="K124" s="29"/>
      <c r="L124" s="89"/>
      <c r="M124" s="58"/>
      <c r="N124" s="44"/>
      <c r="O124" s="44"/>
      <c r="P124" s="65"/>
    </row>
    <row r="125" spans="2:39" x14ac:dyDescent="0.3">
      <c r="I125" s="89"/>
      <c r="J125" s="15"/>
      <c r="K125" s="29"/>
      <c r="L125" s="89"/>
      <c r="M125" s="58"/>
      <c r="N125" s="44"/>
      <c r="O125" s="44"/>
      <c r="P125" s="65"/>
    </row>
    <row r="126" spans="2:39" x14ac:dyDescent="0.3">
      <c r="I126" s="89"/>
      <c r="J126" s="15"/>
      <c r="K126" s="29"/>
      <c r="L126" s="89"/>
      <c r="M126" s="58"/>
      <c r="N126" s="44"/>
      <c r="O126" s="44"/>
      <c r="P126" s="65"/>
    </row>
    <row r="127" spans="2:39" x14ac:dyDescent="0.3">
      <c r="I127" s="89"/>
      <c r="J127" s="15"/>
      <c r="K127" s="29"/>
      <c r="L127" s="89"/>
      <c r="M127" s="58"/>
      <c r="N127" s="44"/>
      <c r="O127" s="44"/>
      <c r="P127" s="65"/>
    </row>
    <row r="128" spans="2:39" x14ac:dyDescent="0.3">
      <c r="I128" s="89"/>
      <c r="J128" s="15"/>
      <c r="K128" s="29"/>
      <c r="L128" s="89"/>
      <c r="M128" s="58"/>
      <c r="N128" s="44"/>
      <c r="O128" s="44"/>
      <c r="P128" s="65"/>
    </row>
    <row r="129" spans="9:16" x14ac:dyDescent="0.3">
      <c r="I129" s="89"/>
      <c r="J129" s="15"/>
      <c r="K129" s="29"/>
      <c r="L129" s="89"/>
      <c r="M129" s="58"/>
      <c r="N129" s="44"/>
      <c r="O129" s="44"/>
      <c r="P129" s="65"/>
    </row>
    <row r="130" spans="9:16" x14ac:dyDescent="0.3">
      <c r="I130" s="89"/>
      <c r="J130" s="15"/>
      <c r="K130" s="29"/>
      <c r="L130" s="89"/>
      <c r="M130" s="58"/>
      <c r="N130" s="44"/>
      <c r="O130" s="44"/>
      <c r="P130" s="65"/>
    </row>
    <row r="131" spans="9:16" x14ac:dyDescent="0.3">
      <c r="I131" s="89"/>
      <c r="J131" s="15"/>
      <c r="K131" s="29"/>
      <c r="L131" s="89"/>
      <c r="M131" s="58"/>
      <c r="N131" s="44"/>
      <c r="O131" s="44"/>
      <c r="P131" s="65"/>
    </row>
    <row r="132" spans="9:16" x14ac:dyDescent="0.3">
      <c r="I132" s="89"/>
      <c r="J132" s="15"/>
      <c r="K132" s="29"/>
      <c r="L132" s="89"/>
      <c r="M132" s="58"/>
      <c r="N132" s="44"/>
      <c r="O132" s="44"/>
      <c r="P132" s="65"/>
    </row>
    <row r="133" spans="9:16" x14ac:dyDescent="0.3">
      <c r="I133" s="89"/>
      <c r="J133" s="15"/>
      <c r="K133" s="29"/>
      <c r="L133" s="89"/>
      <c r="M133" s="58"/>
      <c r="N133" s="44"/>
      <c r="O133" s="44"/>
      <c r="P133" s="65"/>
    </row>
    <row r="134" spans="9:16" x14ac:dyDescent="0.3">
      <c r="I134" s="89"/>
      <c r="J134" s="15"/>
      <c r="K134" s="29"/>
      <c r="L134" s="89"/>
      <c r="M134" s="58"/>
      <c r="N134" s="44"/>
      <c r="O134" s="44"/>
      <c r="P134" s="65"/>
    </row>
    <row r="135" spans="9:16" x14ac:dyDescent="0.3">
      <c r="I135" s="89"/>
      <c r="J135" s="15"/>
      <c r="K135" s="29"/>
      <c r="L135" s="89"/>
      <c r="M135" s="58"/>
      <c r="N135" s="44"/>
      <c r="O135" s="44"/>
      <c r="P135" s="65"/>
    </row>
    <row r="136" spans="9:16" x14ac:dyDescent="0.3">
      <c r="I136" s="89"/>
      <c r="J136" s="15"/>
      <c r="K136" s="29"/>
      <c r="L136" s="89"/>
      <c r="M136" s="58"/>
      <c r="N136" s="44"/>
      <c r="O136" s="44"/>
      <c r="P136" s="65"/>
    </row>
    <row r="137" spans="9:16" x14ac:dyDescent="0.3">
      <c r="I137" s="89"/>
      <c r="J137" s="15"/>
      <c r="K137" s="29"/>
      <c r="L137" s="89"/>
      <c r="M137" s="58"/>
      <c r="N137" s="44"/>
      <c r="O137" s="44"/>
      <c r="P137" s="65"/>
    </row>
    <row r="138" spans="9:16" x14ac:dyDescent="0.3">
      <c r="I138" s="89"/>
      <c r="J138" s="15"/>
      <c r="K138" s="29"/>
      <c r="L138" s="89"/>
      <c r="M138" s="58"/>
      <c r="N138" s="44"/>
      <c r="O138" s="44"/>
      <c r="P138" s="65"/>
    </row>
    <row r="139" spans="9:16" x14ac:dyDescent="0.3">
      <c r="I139" s="89"/>
      <c r="J139" s="15"/>
      <c r="K139" s="29"/>
      <c r="L139" s="89"/>
      <c r="M139" s="58"/>
      <c r="N139" s="44"/>
      <c r="O139" s="44"/>
      <c r="P139" s="65"/>
    </row>
    <row r="140" spans="9:16" x14ac:dyDescent="0.3">
      <c r="I140" s="89"/>
      <c r="J140" s="15"/>
      <c r="K140" s="29"/>
      <c r="L140" s="89"/>
      <c r="M140" s="58"/>
      <c r="N140" s="44"/>
      <c r="O140" s="44"/>
      <c r="P140" s="44"/>
    </row>
    <row r="141" spans="9:16" x14ac:dyDescent="0.3">
      <c r="I141" s="89"/>
      <c r="J141" s="15"/>
      <c r="K141" s="29"/>
      <c r="L141" s="89"/>
      <c r="M141" s="58"/>
      <c r="N141" s="44"/>
      <c r="O141" s="44"/>
      <c r="P141" s="65"/>
    </row>
    <row r="142" spans="9:16" x14ac:dyDescent="0.3">
      <c r="I142" s="89"/>
      <c r="J142" s="15"/>
      <c r="K142" s="29"/>
      <c r="L142" s="89"/>
      <c r="M142" s="58"/>
      <c r="N142" s="44"/>
      <c r="O142" s="44"/>
      <c r="P142" s="65"/>
    </row>
    <row r="143" spans="9:16" x14ac:dyDescent="0.3">
      <c r="I143" s="89"/>
      <c r="J143" s="15"/>
      <c r="K143" s="29"/>
      <c r="L143" s="89"/>
      <c r="M143" s="58"/>
      <c r="N143" s="44"/>
      <c r="O143" s="44"/>
      <c r="P143" s="65"/>
    </row>
    <row r="144" spans="9:16" x14ac:dyDescent="0.3">
      <c r="I144" s="89"/>
      <c r="J144" s="15"/>
      <c r="K144" s="29"/>
      <c r="L144" s="89"/>
      <c r="M144" s="58"/>
      <c r="N144" s="44"/>
      <c r="O144" s="44"/>
      <c r="P144" s="65"/>
    </row>
    <row r="145" spans="9:16" x14ac:dyDescent="0.3">
      <c r="I145" s="89"/>
      <c r="J145" s="15"/>
      <c r="K145" s="29"/>
      <c r="L145" s="89"/>
      <c r="M145" s="58"/>
      <c r="N145" s="44"/>
      <c r="O145" s="44"/>
      <c r="P145" s="65"/>
    </row>
    <row r="146" spans="9:16" x14ac:dyDescent="0.3">
      <c r="I146" s="89"/>
      <c r="J146" s="15"/>
      <c r="K146" s="29"/>
      <c r="L146" s="89"/>
      <c r="M146" s="58"/>
      <c r="N146" s="44"/>
      <c r="O146" s="44"/>
      <c r="P146" s="65"/>
    </row>
    <row r="147" spans="9:16" x14ac:dyDescent="0.3">
      <c r="I147" s="89"/>
      <c r="J147" s="15"/>
      <c r="K147" s="29"/>
      <c r="L147" s="89"/>
      <c r="M147" s="58"/>
      <c r="N147" s="44"/>
      <c r="O147" s="44"/>
      <c r="P147" s="65"/>
    </row>
    <row r="148" spans="9:16" x14ac:dyDescent="0.3">
      <c r="I148" s="89"/>
      <c r="J148" s="15"/>
      <c r="K148" s="29"/>
      <c r="L148" s="89"/>
      <c r="M148" s="58"/>
      <c r="N148" s="44"/>
      <c r="O148" s="44"/>
      <c r="P148" s="65"/>
    </row>
    <row r="149" spans="9:16" x14ac:dyDescent="0.3">
      <c r="I149" s="89"/>
      <c r="J149" s="15"/>
      <c r="K149" s="29"/>
      <c r="L149" s="89"/>
      <c r="M149" s="58"/>
      <c r="N149" s="44"/>
      <c r="O149" s="44"/>
      <c r="P149" s="65"/>
    </row>
    <row r="150" spans="9:16" x14ac:dyDescent="0.3">
      <c r="I150" s="89"/>
      <c r="J150" s="15"/>
      <c r="K150" s="29"/>
      <c r="L150" s="89"/>
      <c r="M150" s="58"/>
      <c r="N150" s="44"/>
      <c r="O150" s="44"/>
      <c r="P150" s="65"/>
    </row>
    <row r="151" spans="9:16" x14ac:dyDescent="0.3">
      <c r="I151" s="89"/>
      <c r="J151" s="15"/>
      <c r="K151" s="29"/>
      <c r="L151" s="89"/>
      <c r="M151" s="58"/>
      <c r="N151" s="44"/>
      <c r="O151" s="44"/>
      <c r="P151" s="65"/>
    </row>
    <row r="152" spans="9:16" x14ac:dyDescent="0.3">
      <c r="I152" s="89"/>
      <c r="J152" s="15"/>
      <c r="K152" s="29"/>
      <c r="L152" s="89"/>
      <c r="M152" s="58"/>
      <c r="N152" s="44"/>
      <c r="O152" s="44"/>
      <c r="P152" s="65"/>
    </row>
    <row r="153" spans="9:16" x14ac:dyDescent="0.3">
      <c r="I153" s="89"/>
      <c r="J153" s="15"/>
      <c r="K153" s="29"/>
      <c r="L153" s="89"/>
      <c r="M153" s="58"/>
      <c r="N153" s="44"/>
      <c r="O153" s="44"/>
      <c r="P153" s="65"/>
    </row>
    <row r="154" spans="9:16" x14ac:dyDescent="0.3">
      <c r="I154" s="89"/>
      <c r="J154" s="15"/>
      <c r="K154" s="29"/>
      <c r="L154" s="89"/>
      <c r="M154" s="58"/>
      <c r="N154" s="44"/>
      <c r="O154" s="44"/>
      <c r="P154" s="65"/>
    </row>
    <row r="155" spans="9:16" x14ac:dyDescent="0.3">
      <c r="I155" s="89"/>
      <c r="J155" s="15"/>
      <c r="K155" s="29"/>
      <c r="L155" s="89"/>
      <c r="M155" s="58"/>
      <c r="N155" s="44"/>
      <c r="O155" s="44"/>
      <c r="P155" s="65"/>
    </row>
    <row r="156" spans="9:16" x14ac:dyDescent="0.3">
      <c r="I156" s="89"/>
      <c r="J156" s="15"/>
      <c r="K156" s="29"/>
      <c r="L156" s="89"/>
      <c r="M156" s="58"/>
      <c r="N156" s="44"/>
      <c r="O156" s="44"/>
      <c r="P156" s="65"/>
    </row>
    <row r="157" spans="9:16" x14ac:dyDescent="0.3">
      <c r="I157" s="89"/>
      <c r="J157" s="15"/>
      <c r="K157" s="29"/>
      <c r="L157" s="89"/>
      <c r="M157" s="58"/>
      <c r="N157" s="44"/>
      <c r="O157" s="44"/>
      <c r="P157" s="65"/>
    </row>
    <row r="158" spans="9:16" x14ac:dyDescent="0.3">
      <c r="I158" s="89"/>
      <c r="J158" s="15"/>
      <c r="K158" s="29"/>
      <c r="L158" s="89"/>
      <c r="M158" s="58"/>
      <c r="N158" s="44"/>
      <c r="O158" s="44"/>
      <c r="P158" s="65"/>
    </row>
    <row r="159" spans="9:16" x14ac:dyDescent="0.3">
      <c r="I159" s="89"/>
      <c r="J159" s="15"/>
      <c r="K159" s="29"/>
      <c r="L159" s="89"/>
      <c r="M159" s="58"/>
      <c r="N159" s="44"/>
      <c r="O159" s="44"/>
      <c r="P159" s="65"/>
    </row>
    <row r="160" spans="9:16" x14ac:dyDescent="0.3">
      <c r="I160" s="89"/>
      <c r="J160" s="15"/>
      <c r="K160" s="29"/>
      <c r="L160" s="89"/>
      <c r="M160" s="58"/>
      <c r="N160" s="44"/>
      <c r="O160" s="44"/>
      <c r="P160" s="65"/>
    </row>
    <row r="161" spans="9:16" x14ac:dyDescent="0.3">
      <c r="I161" s="89"/>
      <c r="J161" s="15"/>
      <c r="K161" s="29"/>
      <c r="L161" s="89"/>
      <c r="M161" s="58"/>
      <c r="N161" s="44"/>
      <c r="O161" s="44"/>
      <c r="P161" s="65"/>
    </row>
    <row r="162" spans="9:16" x14ac:dyDescent="0.3">
      <c r="I162" s="89"/>
      <c r="J162" s="15"/>
      <c r="K162" s="29"/>
      <c r="L162" s="89"/>
      <c r="M162" s="58"/>
      <c r="N162" s="44"/>
      <c r="O162" s="44"/>
      <c r="P162" s="65"/>
    </row>
    <row r="163" spans="9:16" x14ac:dyDescent="0.3">
      <c r="I163" s="89"/>
      <c r="J163" s="15"/>
      <c r="K163" s="29"/>
      <c r="L163" s="89"/>
      <c r="M163" s="58"/>
      <c r="N163" s="44"/>
      <c r="O163" s="44"/>
      <c r="P163" s="65"/>
    </row>
    <row r="164" spans="9:16" x14ac:dyDescent="0.3">
      <c r="I164" s="89"/>
      <c r="J164" s="15"/>
      <c r="K164" s="29"/>
      <c r="L164" s="89"/>
      <c r="M164" s="58"/>
      <c r="N164" s="44"/>
      <c r="O164" s="44"/>
      <c r="P164" s="65"/>
    </row>
    <row r="165" spans="9:16" x14ac:dyDescent="0.3">
      <c r="I165" s="89"/>
      <c r="J165" s="15"/>
      <c r="K165" s="29"/>
      <c r="L165" s="89"/>
      <c r="M165" s="58"/>
      <c r="N165" s="44"/>
      <c r="O165" s="44"/>
      <c r="P165" s="65"/>
    </row>
    <row r="166" spans="9:16" x14ac:dyDescent="0.3">
      <c r="I166" s="89"/>
      <c r="J166" s="15"/>
      <c r="K166" s="29"/>
      <c r="L166" s="89"/>
      <c r="M166" s="58"/>
      <c r="N166" s="44"/>
      <c r="O166" s="44"/>
      <c r="P166" s="65"/>
    </row>
    <row r="167" spans="9:16" x14ac:dyDescent="0.3">
      <c r="I167" s="89"/>
      <c r="J167" s="15"/>
      <c r="K167" s="29"/>
      <c r="L167" s="89"/>
      <c r="M167" s="58"/>
      <c r="N167" s="44"/>
      <c r="O167" s="44"/>
      <c r="P167" s="65"/>
    </row>
    <row r="168" spans="9:16" x14ac:dyDescent="0.3">
      <c r="I168" s="89"/>
      <c r="J168" s="15"/>
      <c r="K168" s="29"/>
      <c r="L168" s="89"/>
      <c r="M168" s="58"/>
      <c r="N168" s="44"/>
      <c r="O168" s="44"/>
      <c r="P168" s="65"/>
    </row>
    <row r="169" spans="9:16" x14ac:dyDescent="0.3">
      <c r="I169" s="89"/>
      <c r="J169" s="15"/>
      <c r="K169" s="29"/>
      <c r="L169" s="89"/>
      <c r="M169" s="58"/>
      <c r="N169" s="44"/>
      <c r="O169" s="44"/>
      <c r="P169" s="65"/>
    </row>
    <row r="170" spans="9:16" x14ac:dyDescent="0.3">
      <c r="I170" s="89"/>
      <c r="J170" s="15"/>
      <c r="K170" s="29"/>
      <c r="L170" s="89"/>
      <c r="M170" s="58"/>
      <c r="N170" s="44"/>
      <c r="O170" s="44"/>
      <c r="P170" s="65"/>
    </row>
    <row r="171" spans="9:16" x14ac:dyDescent="0.3">
      <c r="I171" s="89"/>
      <c r="J171" s="15"/>
      <c r="K171" s="29"/>
      <c r="L171" s="89"/>
      <c r="M171" s="58"/>
      <c r="N171" s="44"/>
      <c r="O171" s="44"/>
      <c r="P171" s="65"/>
    </row>
    <row r="172" spans="9:16" x14ac:dyDescent="0.3">
      <c r="I172" s="89"/>
      <c r="J172" s="15"/>
      <c r="K172" s="29"/>
      <c r="L172" s="89"/>
      <c r="M172" s="58"/>
      <c r="N172" s="44"/>
      <c r="O172" s="44"/>
      <c r="P172" s="65"/>
    </row>
    <row r="173" spans="9:16" x14ac:dyDescent="0.3">
      <c r="I173" s="89"/>
      <c r="J173" s="15"/>
      <c r="K173" s="29"/>
      <c r="L173" s="89"/>
      <c r="M173" s="58"/>
      <c r="N173" s="44"/>
      <c r="O173" s="44"/>
      <c r="P173" s="65"/>
    </row>
    <row r="174" spans="9:16" x14ac:dyDescent="0.3">
      <c r="I174" s="89"/>
      <c r="J174" s="15"/>
      <c r="K174" s="29"/>
      <c r="L174" s="89"/>
      <c r="M174" s="58"/>
      <c r="N174" s="44"/>
      <c r="O174" s="44"/>
      <c r="P174" s="65"/>
    </row>
    <row r="175" spans="9:16" x14ac:dyDescent="0.3">
      <c r="I175" s="89"/>
      <c r="J175" s="15"/>
      <c r="K175" s="29"/>
      <c r="L175" s="89"/>
      <c r="M175" s="58"/>
      <c r="N175" s="44"/>
      <c r="O175" s="44"/>
      <c r="P175" s="65"/>
    </row>
    <row r="176" spans="9:16" x14ac:dyDescent="0.3">
      <c r="I176" s="89"/>
      <c r="J176" s="15"/>
      <c r="K176" s="29"/>
      <c r="L176" s="89"/>
      <c r="M176" s="58"/>
      <c r="N176" s="44"/>
      <c r="O176" s="44"/>
      <c r="P176" s="65"/>
    </row>
    <row r="177" spans="9:16" x14ac:dyDescent="0.3">
      <c r="I177" s="89"/>
      <c r="J177" s="15"/>
      <c r="K177" s="29"/>
      <c r="L177" s="89"/>
      <c r="M177" s="58"/>
      <c r="N177" s="44"/>
      <c r="O177" s="44"/>
      <c r="P177" s="65"/>
    </row>
    <row r="178" spans="9:16" x14ac:dyDescent="0.3">
      <c r="I178" s="89"/>
      <c r="J178" s="15"/>
      <c r="K178" s="29"/>
      <c r="L178" s="89"/>
      <c r="M178" s="58"/>
      <c r="N178" s="44"/>
      <c r="O178" s="44"/>
      <c r="P178" s="65"/>
    </row>
    <row r="179" spans="9:16" x14ac:dyDescent="0.3">
      <c r="I179" s="89"/>
      <c r="J179" s="15"/>
      <c r="K179" s="29"/>
      <c r="L179" s="89"/>
      <c r="M179" s="58"/>
      <c r="N179" s="44"/>
      <c r="O179" s="44"/>
      <c r="P179" s="65"/>
    </row>
    <row r="180" spans="9:16" x14ac:dyDescent="0.3">
      <c r="I180" s="89"/>
      <c r="J180" s="15"/>
      <c r="K180" s="29"/>
      <c r="L180" s="89"/>
      <c r="M180" s="58"/>
      <c r="N180" s="44"/>
      <c r="O180" s="44"/>
      <c r="P180" s="65"/>
    </row>
    <row r="181" spans="9:16" x14ac:dyDescent="0.3">
      <c r="I181" s="89"/>
      <c r="J181" s="15"/>
      <c r="K181" s="29"/>
      <c r="L181" s="89"/>
      <c r="M181" s="58"/>
      <c r="N181" s="44"/>
      <c r="O181" s="44"/>
      <c r="P181" s="65"/>
    </row>
    <row r="182" spans="9:16" x14ac:dyDescent="0.3">
      <c r="I182" s="89"/>
      <c r="J182" s="15"/>
      <c r="K182" s="29"/>
      <c r="L182" s="89"/>
      <c r="M182" s="58"/>
      <c r="N182" s="44"/>
      <c r="O182" s="44"/>
      <c r="P182" s="65"/>
    </row>
    <row r="183" spans="9:16" x14ac:dyDescent="0.3">
      <c r="I183" s="89"/>
      <c r="J183" s="15"/>
      <c r="K183" s="29"/>
      <c r="L183" s="89"/>
      <c r="M183" s="58"/>
      <c r="N183" s="44"/>
      <c r="O183" s="44"/>
      <c r="P183" s="65"/>
    </row>
    <row r="184" spans="9:16" x14ac:dyDescent="0.3">
      <c r="I184" s="89"/>
      <c r="J184" s="15"/>
      <c r="K184" s="29"/>
      <c r="L184" s="89"/>
      <c r="M184" s="58"/>
      <c r="N184" s="44"/>
      <c r="O184" s="44"/>
      <c r="P184" s="65"/>
    </row>
    <row r="185" spans="9:16" x14ac:dyDescent="0.3">
      <c r="I185" s="89"/>
      <c r="J185" s="15"/>
      <c r="K185" s="29"/>
      <c r="L185" s="89"/>
      <c r="M185" s="58"/>
      <c r="N185" s="44"/>
      <c r="O185" s="44"/>
      <c r="P185" s="65"/>
    </row>
    <row r="186" spans="9:16" x14ac:dyDescent="0.3">
      <c r="I186" s="89"/>
      <c r="J186" s="15"/>
      <c r="K186" s="29"/>
      <c r="L186" s="89"/>
      <c r="M186" s="58"/>
      <c r="N186" s="44"/>
      <c r="O186" s="44"/>
      <c r="P186" s="65"/>
    </row>
    <row r="187" spans="9:16" x14ac:dyDescent="0.3">
      <c r="I187" s="89"/>
      <c r="J187" s="15"/>
      <c r="K187" s="29"/>
      <c r="L187" s="89"/>
      <c r="M187" s="58"/>
      <c r="N187" s="44"/>
      <c r="O187" s="44"/>
      <c r="P187" s="65"/>
    </row>
    <row r="188" spans="9:16" x14ac:dyDescent="0.3">
      <c r="I188" s="89"/>
      <c r="J188" s="15"/>
      <c r="K188" s="29"/>
      <c r="L188" s="89"/>
      <c r="M188" s="58"/>
      <c r="N188" s="44"/>
      <c r="O188" s="44"/>
      <c r="P188" s="65"/>
    </row>
    <row r="189" spans="9:16" x14ac:dyDescent="0.3">
      <c r="I189" s="89"/>
      <c r="J189" s="15"/>
      <c r="K189" s="29"/>
      <c r="L189" s="89"/>
      <c r="M189" s="58"/>
      <c r="N189" s="44"/>
      <c r="O189" s="44"/>
      <c r="P189" s="65"/>
    </row>
    <row r="190" spans="9:16" x14ac:dyDescent="0.3">
      <c r="I190" s="89"/>
      <c r="J190" s="15"/>
      <c r="K190" s="29"/>
      <c r="L190" s="89"/>
      <c r="M190" s="58"/>
      <c r="N190" s="44"/>
      <c r="O190" s="44"/>
      <c r="P190" s="65"/>
    </row>
    <row r="191" spans="9:16" x14ac:dyDescent="0.3">
      <c r="I191" s="89"/>
      <c r="J191" s="15"/>
      <c r="K191" s="29"/>
      <c r="L191" s="89"/>
      <c r="M191" s="58"/>
      <c r="N191" s="44"/>
      <c r="O191" s="44"/>
      <c r="P191" s="65"/>
    </row>
    <row r="192" spans="9:16" x14ac:dyDescent="0.3">
      <c r="I192" s="89"/>
      <c r="J192" s="15"/>
      <c r="K192" s="29"/>
      <c r="L192" s="89"/>
      <c r="M192" s="58"/>
      <c r="N192" s="44"/>
      <c r="O192" s="44"/>
      <c r="P192" s="65"/>
    </row>
    <row r="193" spans="9:16" x14ac:dyDescent="0.3">
      <c r="I193" s="89"/>
      <c r="J193" s="15"/>
      <c r="K193" s="29"/>
      <c r="L193" s="89"/>
      <c r="M193" s="58"/>
      <c r="N193" s="44"/>
      <c r="O193" s="44"/>
      <c r="P193" s="65"/>
    </row>
    <row r="194" spans="9:16" x14ac:dyDescent="0.3">
      <c r="I194" s="89"/>
      <c r="J194" s="15"/>
      <c r="K194" s="29"/>
      <c r="L194" s="89"/>
      <c r="M194" s="58"/>
      <c r="N194" s="44"/>
      <c r="O194" s="44"/>
      <c r="P194" s="65"/>
    </row>
    <row r="195" spans="9:16" x14ac:dyDescent="0.3">
      <c r="I195" s="89"/>
      <c r="J195" s="15"/>
      <c r="K195" s="29"/>
      <c r="L195" s="89"/>
      <c r="M195" s="58"/>
      <c r="N195" s="44"/>
      <c r="O195" s="44"/>
      <c r="P195" s="65"/>
    </row>
    <row r="196" spans="9:16" x14ac:dyDescent="0.3">
      <c r="I196" s="89"/>
      <c r="J196" s="15"/>
      <c r="K196" s="29"/>
      <c r="L196" s="89"/>
      <c r="M196" s="58"/>
      <c r="N196" s="44"/>
      <c r="O196" s="44"/>
      <c r="P196" s="65"/>
    </row>
    <row r="197" spans="9:16" x14ac:dyDescent="0.3">
      <c r="I197" s="89"/>
      <c r="J197" s="15"/>
      <c r="K197" s="29"/>
      <c r="L197" s="89"/>
      <c r="M197" s="58"/>
      <c r="N197" s="44"/>
      <c r="O197" s="44"/>
      <c r="P197" s="65"/>
    </row>
    <row r="198" spans="9:16" x14ac:dyDescent="0.3">
      <c r="I198" s="89"/>
      <c r="J198" s="15"/>
      <c r="K198" s="29"/>
      <c r="L198" s="89"/>
      <c r="M198" s="58"/>
      <c r="N198" s="44"/>
      <c r="O198" s="44"/>
      <c r="P198" s="65"/>
    </row>
    <row r="199" spans="9:16" x14ac:dyDescent="0.3">
      <c r="I199" s="89"/>
      <c r="J199" s="15"/>
      <c r="K199" s="29"/>
      <c r="L199" s="89"/>
      <c r="M199" s="58"/>
      <c r="N199" s="44"/>
      <c r="O199" s="44"/>
      <c r="P199" s="65"/>
    </row>
    <row r="200" spans="9:16" x14ac:dyDescent="0.3">
      <c r="I200" s="89"/>
      <c r="J200" s="15"/>
      <c r="K200" s="29"/>
      <c r="L200" s="89"/>
      <c r="M200" s="58"/>
      <c r="N200" s="44"/>
      <c r="O200" s="44"/>
      <c r="P200" s="65"/>
    </row>
    <row r="201" spans="9:16" x14ac:dyDescent="0.3">
      <c r="I201" s="89"/>
      <c r="J201" s="15"/>
      <c r="K201" s="29"/>
      <c r="L201" s="89"/>
      <c r="M201" s="58"/>
      <c r="N201" s="44"/>
      <c r="O201" s="44"/>
      <c r="P201" s="65"/>
    </row>
    <row r="202" spans="9:16" x14ac:dyDescent="0.3">
      <c r="I202" s="89"/>
      <c r="J202" s="15"/>
      <c r="K202" s="29"/>
      <c r="L202" s="89"/>
      <c r="M202" s="58"/>
      <c r="N202" s="44"/>
      <c r="O202" s="44"/>
      <c r="P202" s="65"/>
    </row>
    <row r="203" spans="9:16" x14ac:dyDescent="0.3">
      <c r="I203" s="89"/>
      <c r="J203" s="15"/>
      <c r="K203" s="29"/>
      <c r="L203" s="89"/>
      <c r="M203" s="58"/>
      <c r="N203" s="44"/>
      <c r="O203" s="44"/>
      <c r="P203" s="65"/>
    </row>
    <row r="204" spans="9:16" x14ac:dyDescent="0.3">
      <c r="I204" s="89"/>
      <c r="J204" s="15"/>
      <c r="K204" s="29"/>
      <c r="L204" s="89"/>
      <c r="M204" s="58"/>
      <c r="N204" s="44"/>
      <c r="O204" s="44"/>
      <c r="P204" s="65"/>
    </row>
    <row r="205" spans="9:16" x14ac:dyDescent="0.3">
      <c r="I205" s="89"/>
      <c r="J205" s="15"/>
      <c r="K205" s="29"/>
      <c r="L205" s="89"/>
      <c r="M205" s="58"/>
      <c r="N205" s="44"/>
      <c r="O205" s="44"/>
      <c r="P205" s="65"/>
    </row>
    <row r="206" spans="9:16" x14ac:dyDescent="0.3">
      <c r="I206" s="89"/>
      <c r="J206" s="15"/>
      <c r="K206" s="29"/>
      <c r="L206" s="89"/>
      <c r="M206" s="58"/>
      <c r="N206" s="44"/>
      <c r="O206" s="44"/>
      <c r="P206" s="65"/>
    </row>
    <row r="207" spans="9:16" x14ac:dyDescent="0.3">
      <c r="I207" s="89"/>
      <c r="J207" s="15"/>
      <c r="K207" s="29"/>
      <c r="L207" s="89"/>
      <c r="M207" s="58"/>
      <c r="N207" s="44"/>
      <c r="O207" s="44"/>
      <c r="P207" s="65"/>
    </row>
    <row r="208" spans="9:16" x14ac:dyDescent="0.3">
      <c r="I208" s="89"/>
      <c r="J208" s="15"/>
      <c r="K208" s="29"/>
      <c r="L208" s="89"/>
      <c r="M208" s="58"/>
      <c r="N208" s="44"/>
      <c r="O208" s="44"/>
      <c r="P208" s="65"/>
    </row>
    <row r="209" spans="9:16" x14ac:dyDescent="0.3">
      <c r="I209" s="89"/>
      <c r="J209" s="15"/>
      <c r="K209" s="29"/>
      <c r="L209" s="89"/>
      <c r="M209" s="58"/>
      <c r="N209" s="44"/>
      <c r="O209" s="44"/>
      <c r="P209" s="65"/>
    </row>
    <row r="210" spans="9:16" x14ac:dyDescent="0.3">
      <c r="I210" s="89"/>
      <c r="J210" s="15"/>
      <c r="K210" s="29"/>
      <c r="L210" s="89"/>
      <c r="M210" s="58"/>
      <c r="N210" s="44"/>
      <c r="O210" s="44"/>
      <c r="P210" s="65"/>
    </row>
    <row r="211" spans="9:16" x14ac:dyDescent="0.3">
      <c r="I211" s="89"/>
      <c r="J211" s="15"/>
      <c r="K211" s="29"/>
      <c r="L211" s="89"/>
      <c r="M211" s="58"/>
      <c r="N211" s="44"/>
      <c r="O211" s="44"/>
      <c r="P211" s="65"/>
    </row>
    <row r="212" spans="9:16" x14ac:dyDescent="0.3">
      <c r="I212" s="89"/>
      <c r="J212" s="15"/>
      <c r="K212" s="29"/>
      <c r="L212" s="89"/>
      <c r="M212" s="58"/>
      <c r="N212" s="44"/>
      <c r="O212" s="44"/>
      <c r="P212" s="65"/>
    </row>
    <row r="213" spans="9:16" x14ac:dyDescent="0.3">
      <c r="I213" s="89"/>
      <c r="J213" s="15"/>
      <c r="K213" s="29"/>
      <c r="L213" s="89"/>
      <c r="M213" s="58"/>
      <c r="N213" s="44"/>
      <c r="O213" s="44"/>
      <c r="P213" s="65"/>
    </row>
    <row r="214" spans="9:16" x14ac:dyDescent="0.3">
      <c r="I214" s="89"/>
      <c r="J214" s="15"/>
      <c r="K214" s="29"/>
      <c r="L214" s="89"/>
      <c r="M214" s="58"/>
      <c r="N214" s="44"/>
      <c r="O214" s="44"/>
      <c r="P214" s="65"/>
    </row>
    <row r="215" spans="9:16" x14ac:dyDescent="0.3">
      <c r="I215" s="89"/>
      <c r="J215" s="15"/>
      <c r="K215" s="29"/>
      <c r="L215" s="89"/>
      <c r="M215" s="58"/>
      <c r="N215" s="44"/>
      <c r="O215" s="44"/>
      <c r="P215" s="65"/>
    </row>
    <row r="216" spans="9:16" x14ac:dyDescent="0.3">
      <c r="I216" s="89"/>
      <c r="J216" s="15"/>
      <c r="K216" s="29"/>
      <c r="L216" s="89"/>
      <c r="M216" s="58"/>
      <c r="N216" s="44"/>
      <c r="O216" s="44"/>
      <c r="P216" s="65"/>
    </row>
    <row r="217" spans="9:16" x14ac:dyDescent="0.3">
      <c r="I217" s="89"/>
      <c r="J217" s="15"/>
      <c r="K217" s="29"/>
      <c r="L217" s="89"/>
      <c r="M217" s="58"/>
      <c r="N217" s="44"/>
      <c r="O217" s="44"/>
      <c r="P217" s="65"/>
    </row>
    <row r="218" spans="9:16" x14ac:dyDescent="0.3">
      <c r="I218" s="89"/>
      <c r="J218" s="15"/>
      <c r="K218" s="29"/>
      <c r="L218" s="89"/>
      <c r="M218" s="58"/>
      <c r="N218" s="44"/>
      <c r="O218" s="44"/>
      <c r="P218" s="65"/>
    </row>
    <row r="219" spans="9:16" x14ac:dyDescent="0.3">
      <c r="I219" s="89"/>
      <c r="J219" s="15"/>
      <c r="K219" s="29"/>
      <c r="L219" s="89"/>
      <c r="M219" s="58"/>
      <c r="N219" s="44"/>
      <c r="O219" s="44"/>
      <c r="P219" s="65"/>
    </row>
    <row r="220" spans="9:16" x14ac:dyDescent="0.3">
      <c r="I220" s="89"/>
      <c r="J220" s="15"/>
      <c r="K220" s="29"/>
      <c r="L220" s="89"/>
      <c r="M220" s="58"/>
      <c r="N220" s="44"/>
      <c r="O220" s="44"/>
      <c r="P220" s="65"/>
    </row>
    <row r="221" spans="9:16" x14ac:dyDescent="0.3">
      <c r="I221" s="89"/>
      <c r="J221" s="15"/>
      <c r="K221" s="29"/>
      <c r="L221" s="89"/>
      <c r="M221" s="58"/>
      <c r="N221" s="44"/>
      <c r="O221" s="44"/>
      <c r="P221" s="65"/>
    </row>
    <row r="222" spans="9:16" x14ac:dyDescent="0.3">
      <c r="I222" s="89"/>
      <c r="J222" s="15"/>
      <c r="K222" s="29"/>
      <c r="L222" s="89"/>
      <c r="M222" s="58"/>
      <c r="N222" s="44"/>
      <c r="O222" s="44"/>
      <c r="P222" s="65"/>
    </row>
    <row r="223" spans="9:16" x14ac:dyDescent="0.3">
      <c r="I223" s="89"/>
      <c r="J223" s="15"/>
      <c r="K223" s="29"/>
      <c r="L223" s="89"/>
      <c r="M223" s="58"/>
      <c r="N223" s="44"/>
      <c r="O223" s="44"/>
      <c r="P223" s="65"/>
    </row>
    <row r="224" spans="9:16" x14ac:dyDescent="0.3">
      <c r="I224" s="89"/>
      <c r="J224" s="15"/>
      <c r="K224" s="29"/>
      <c r="L224" s="89"/>
      <c r="M224" s="58"/>
      <c r="N224" s="44"/>
      <c r="O224" s="44"/>
      <c r="P224" s="65"/>
    </row>
    <row r="225" spans="9:16" x14ac:dyDescent="0.3">
      <c r="I225" s="89"/>
      <c r="J225" s="15"/>
      <c r="K225" s="29"/>
      <c r="L225" s="89"/>
      <c r="M225" s="58"/>
      <c r="N225" s="44"/>
      <c r="O225" s="44"/>
      <c r="P225" s="65"/>
    </row>
    <row r="226" spans="9:16" x14ac:dyDescent="0.3">
      <c r="I226" s="89"/>
      <c r="J226" s="15"/>
      <c r="K226" s="29"/>
      <c r="L226" s="89"/>
      <c r="M226" s="58"/>
      <c r="N226" s="44"/>
      <c r="O226" s="44"/>
      <c r="P226" s="65"/>
    </row>
    <row r="227" spans="9:16" x14ac:dyDescent="0.3">
      <c r="I227" s="89"/>
      <c r="J227" s="15"/>
      <c r="K227" s="29"/>
      <c r="L227" s="89"/>
      <c r="M227" s="58"/>
      <c r="N227" s="44"/>
      <c r="O227" s="44"/>
      <c r="P227" s="65"/>
    </row>
    <row r="228" spans="9:16" x14ac:dyDescent="0.3">
      <c r="I228" s="89"/>
      <c r="J228" s="15"/>
      <c r="K228" s="29"/>
      <c r="L228" s="89"/>
      <c r="M228" s="58"/>
      <c r="N228" s="44"/>
      <c r="O228" s="44"/>
      <c r="P228" s="65"/>
    </row>
    <row r="229" spans="9:16" x14ac:dyDescent="0.3">
      <c r="I229" s="89"/>
      <c r="J229" s="15"/>
      <c r="K229" s="29"/>
      <c r="L229" s="89"/>
      <c r="M229" s="58"/>
      <c r="N229" s="44"/>
      <c r="O229" s="44"/>
      <c r="P229" s="65"/>
    </row>
    <row r="230" spans="9:16" x14ac:dyDescent="0.3">
      <c r="I230" s="89"/>
      <c r="J230" s="15"/>
      <c r="K230" s="29"/>
      <c r="L230" s="89"/>
      <c r="M230" s="58"/>
      <c r="N230" s="44"/>
      <c r="O230" s="44"/>
      <c r="P230" s="65"/>
    </row>
    <row r="231" spans="9:16" x14ac:dyDescent="0.3">
      <c r="I231" s="89"/>
      <c r="J231" s="15"/>
      <c r="K231" s="29"/>
      <c r="L231" s="89"/>
      <c r="M231" s="58"/>
      <c r="N231" s="44"/>
      <c r="O231" s="44"/>
      <c r="P231" s="65"/>
    </row>
    <row r="232" spans="9:16" x14ac:dyDescent="0.3">
      <c r="I232" s="89"/>
      <c r="J232" s="15"/>
      <c r="K232" s="29"/>
      <c r="L232" s="89"/>
      <c r="M232" s="58"/>
      <c r="N232" s="44"/>
      <c r="O232" s="44"/>
      <c r="P232" s="65"/>
    </row>
    <row r="233" spans="9:16" x14ac:dyDescent="0.3">
      <c r="I233" s="89"/>
      <c r="J233" s="15"/>
      <c r="K233" s="29"/>
      <c r="L233" s="89"/>
      <c r="M233" s="58"/>
      <c r="N233" s="44"/>
      <c r="O233" s="44"/>
      <c r="P233" s="65"/>
    </row>
    <row r="234" spans="9:16" x14ac:dyDescent="0.3">
      <c r="I234" s="89"/>
      <c r="J234" s="15"/>
      <c r="K234" s="29"/>
      <c r="L234" s="89"/>
      <c r="M234" s="58"/>
      <c r="N234" s="44"/>
      <c r="O234" s="44"/>
      <c r="P234" s="65"/>
    </row>
    <row r="235" spans="9:16" x14ac:dyDescent="0.3">
      <c r="I235" s="89"/>
      <c r="J235" s="15"/>
      <c r="K235" s="29"/>
      <c r="L235" s="89"/>
      <c r="M235" s="58"/>
      <c r="N235" s="44"/>
      <c r="O235" s="44"/>
      <c r="P235" s="65"/>
    </row>
    <row r="236" spans="9:16" x14ac:dyDescent="0.3">
      <c r="I236" s="89"/>
      <c r="J236" s="15"/>
      <c r="K236" s="29"/>
      <c r="L236" s="89"/>
      <c r="M236" s="58"/>
      <c r="N236" s="44"/>
      <c r="O236" s="44"/>
      <c r="P236" s="65"/>
    </row>
    <row r="237" spans="9:16" x14ac:dyDescent="0.3">
      <c r="I237" s="89"/>
      <c r="J237" s="15"/>
      <c r="K237" s="29"/>
      <c r="L237" s="89"/>
      <c r="M237" s="58"/>
      <c r="N237" s="44"/>
      <c r="O237" s="44"/>
      <c r="P237" s="65"/>
    </row>
    <row r="238" spans="9:16" x14ac:dyDescent="0.3">
      <c r="I238" s="89"/>
      <c r="J238" s="15"/>
      <c r="K238" s="29"/>
      <c r="L238" s="89"/>
      <c r="M238" s="58"/>
      <c r="N238" s="44"/>
      <c r="O238" s="44"/>
      <c r="P238" s="65"/>
    </row>
    <row r="239" spans="9:16" x14ac:dyDescent="0.3">
      <c r="I239" s="89"/>
      <c r="J239" s="15"/>
      <c r="K239" s="29"/>
      <c r="L239" s="89"/>
      <c r="M239" s="58"/>
      <c r="N239" s="44"/>
      <c r="O239" s="44"/>
      <c r="P239" s="65"/>
    </row>
    <row r="240" spans="9:16" x14ac:dyDescent="0.3">
      <c r="I240" s="89"/>
      <c r="J240" s="15"/>
      <c r="K240" s="29"/>
      <c r="L240" s="89"/>
      <c r="M240" s="58"/>
      <c r="N240" s="44"/>
      <c r="O240" s="44"/>
      <c r="P240" s="65"/>
    </row>
    <row r="241" spans="9:16" x14ac:dyDescent="0.3">
      <c r="I241" s="89"/>
      <c r="J241" s="15"/>
      <c r="K241" s="29"/>
      <c r="L241" s="89"/>
      <c r="M241" s="58"/>
      <c r="N241" s="44"/>
      <c r="O241" s="44"/>
      <c r="P241" s="65"/>
    </row>
    <row r="242" spans="9:16" x14ac:dyDescent="0.3">
      <c r="I242" s="89"/>
      <c r="J242" s="15"/>
      <c r="K242" s="29"/>
      <c r="L242" s="89"/>
      <c r="M242" s="58"/>
      <c r="N242" s="44"/>
      <c r="O242" s="44"/>
      <c r="P242" s="65"/>
    </row>
    <row r="243" spans="9:16" x14ac:dyDescent="0.3">
      <c r="I243" s="89"/>
      <c r="J243" s="15"/>
      <c r="K243" s="29"/>
      <c r="L243" s="89"/>
      <c r="M243" s="58"/>
      <c r="N243" s="44"/>
      <c r="O243" s="44"/>
      <c r="P243" s="65"/>
    </row>
    <row r="244" spans="9:16" x14ac:dyDescent="0.3">
      <c r="I244" s="89"/>
      <c r="J244" s="15"/>
      <c r="K244" s="29"/>
      <c r="L244" s="89"/>
      <c r="M244" s="58"/>
      <c r="N244" s="44"/>
      <c r="O244" s="44"/>
      <c r="P244" s="65"/>
    </row>
    <row r="245" spans="9:16" x14ac:dyDescent="0.3">
      <c r="I245" s="89"/>
      <c r="J245" s="15"/>
      <c r="K245" s="29"/>
      <c r="L245" s="89"/>
      <c r="M245" s="58"/>
      <c r="N245" s="44"/>
      <c r="O245" s="44"/>
      <c r="P245" s="65"/>
    </row>
    <row r="246" spans="9:16" x14ac:dyDescent="0.3">
      <c r="I246" s="89"/>
      <c r="J246" s="15"/>
      <c r="K246" s="29"/>
      <c r="L246" s="89"/>
      <c r="M246" s="58"/>
      <c r="N246" s="44"/>
      <c r="O246" s="44"/>
      <c r="P246" s="65"/>
    </row>
    <row r="247" spans="9:16" x14ac:dyDescent="0.3">
      <c r="I247" s="89"/>
      <c r="J247" s="15"/>
      <c r="K247" s="29"/>
      <c r="L247" s="89"/>
      <c r="M247" s="58"/>
      <c r="N247" s="44"/>
      <c r="O247" s="44"/>
      <c r="P247" s="65"/>
    </row>
    <row r="248" spans="9:16" x14ac:dyDescent="0.3">
      <c r="I248" s="89"/>
      <c r="J248" s="15"/>
      <c r="K248" s="29"/>
      <c r="L248" s="89"/>
      <c r="M248" s="58"/>
      <c r="N248" s="44"/>
      <c r="O248" s="44"/>
      <c r="P248" s="65"/>
    </row>
    <row r="249" spans="9:16" x14ac:dyDescent="0.3">
      <c r="I249" s="89"/>
      <c r="J249" s="15"/>
      <c r="K249" s="29"/>
      <c r="L249" s="89"/>
      <c r="M249" s="58"/>
      <c r="N249" s="44"/>
      <c r="O249" s="44"/>
      <c r="P249" s="65"/>
    </row>
    <row r="250" spans="9:16" x14ac:dyDescent="0.3">
      <c r="I250" s="89"/>
      <c r="J250" s="15"/>
      <c r="K250" s="29"/>
      <c r="L250" s="89"/>
      <c r="M250" s="58"/>
      <c r="N250" s="44"/>
      <c r="O250" s="44"/>
      <c r="P250" s="65"/>
    </row>
    <row r="251" spans="9:16" x14ac:dyDescent="0.3">
      <c r="I251" s="89"/>
      <c r="J251" s="15"/>
      <c r="K251" s="29"/>
      <c r="L251" s="89"/>
      <c r="M251" s="58"/>
      <c r="N251" s="44"/>
      <c r="O251" s="44"/>
      <c r="P251" s="65"/>
    </row>
    <row r="252" spans="9:16" x14ac:dyDescent="0.3">
      <c r="I252" s="89"/>
      <c r="J252" s="15"/>
      <c r="K252" s="29"/>
      <c r="L252" s="89"/>
      <c r="M252" s="58"/>
      <c r="N252" s="44"/>
      <c r="O252" s="44"/>
      <c r="P252" s="65"/>
    </row>
    <row r="253" spans="9:16" x14ac:dyDescent="0.3">
      <c r="I253" s="89"/>
      <c r="J253" s="15"/>
      <c r="K253" s="29"/>
      <c r="L253" s="89"/>
      <c r="M253" s="58"/>
      <c r="N253" s="44"/>
      <c r="O253" s="44"/>
      <c r="P253" s="65"/>
    </row>
    <row r="254" spans="9:16" x14ac:dyDescent="0.3">
      <c r="I254" s="89"/>
      <c r="J254" s="15"/>
      <c r="K254" s="29"/>
      <c r="L254" s="89"/>
      <c r="M254" s="58"/>
      <c r="N254" s="44"/>
      <c r="O254" s="44"/>
      <c r="P254" s="65"/>
    </row>
    <row r="255" spans="9:16" x14ac:dyDescent="0.3">
      <c r="I255" s="89"/>
      <c r="J255" s="15"/>
      <c r="K255" s="29"/>
      <c r="L255" s="89"/>
      <c r="M255" s="58"/>
      <c r="N255" s="44"/>
      <c r="O255" s="44"/>
      <c r="P255" s="65"/>
    </row>
    <row r="256" spans="9:16" x14ac:dyDescent="0.3">
      <c r="I256" s="89"/>
      <c r="J256" s="15"/>
      <c r="K256" s="29"/>
      <c r="L256" s="89"/>
      <c r="M256" s="58"/>
      <c r="N256" s="44"/>
      <c r="O256" s="44"/>
      <c r="P256" s="65"/>
    </row>
    <row r="257" spans="9:16" x14ac:dyDescent="0.3">
      <c r="I257" s="89"/>
      <c r="J257" s="15"/>
      <c r="K257" s="29"/>
      <c r="L257" s="89"/>
      <c r="M257" s="58"/>
      <c r="N257" s="44"/>
      <c r="O257" s="44"/>
      <c r="P257" s="65"/>
    </row>
    <row r="258" spans="9:16" x14ac:dyDescent="0.3">
      <c r="I258" s="89"/>
      <c r="J258" s="15"/>
      <c r="K258" s="29"/>
      <c r="L258" s="89"/>
      <c r="M258" s="58"/>
      <c r="N258" s="44"/>
      <c r="O258" s="44"/>
      <c r="P258" s="65"/>
    </row>
    <row r="259" spans="9:16" x14ac:dyDescent="0.3">
      <c r="I259" s="89"/>
      <c r="J259" s="15"/>
      <c r="K259" s="29"/>
      <c r="L259" s="89"/>
      <c r="M259" s="58"/>
      <c r="N259" s="44"/>
      <c r="O259" s="44"/>
      <c r="P259" s="65"/>
    </row>
    <row r="260" spans="9:16" x14ac:dyDescent="0.3">
      <c r="I260" s="89"/>
      <c r="J260" s="15"/>
      <c r="K260" s="29"/>
      <c r="L260" s="89"/>
      <c r="M260" s="58"/>
      <c r="N260" s="44"/>
      <c r="O260" s="44"/>
      <c r="P260" s="65"/>
    </row>
    <row r="261" spans="9:16" x14ac:dyDescent="0.3">
      <c r="I261" s="89"/>
      <c r="J261" s="15"/>
      <c r="K261" s="29"/>
      <c r="L261" s="89"/>
      <c r="M261" s="58"/>
      <c r="N261" s="44"/>
      <c r="O261" s="44"/>
      <c r="P261" s="65"/>
    </row>
    <row r="262" spans="9:16" x14ac:dyDescent="0.3">
      <c r="I262" s="89"/>
      <c r="J262" s="15"/>
      <c r="K262" s="29"/>
      <c r="L262" s="89"/>
      <c r="M262" s="58"/>
      <c r="N262" s="44"/>
      <c r="O262" s="44"/>
      <c r="P262" s="65"/>
    </row>
    <row r="263" spans="9:16" x14ac:dyDescent="0.3">
      <c r="I263" s="89"/>
      <c r="J263" s="15"/>
      <c r="K263" s="29"/>
      <c r="L263" s="89"/>
      <c r="M263" s="58"/>
      <c r="N263" s="44"/>
      <c r="O263" s="44"/>
      <c r="P263" s="65"/>
    </row>
    <row r="264" spans="9:16" x14ac:dyDescent="0.3">
      <c r="I264" s="89"/>
      <c r="J264" s="15"/>
      <c r="K264" s="29"/>
      <c r="L264" s="89"/>
      <c r="M264" s="58"/>
      <c r="N264" s="44"/>
      <c r="O264" s="44"/>
      <c r="P264" s="65"/>
    </row>
    <row r="265" spans="9:16" x14ac:dyDescent="0.3">
      <c r="I265" s="89"/>
      <c r="J265" s="15"/>
      <c r="K265" s="29"/>
      <c r="L265" s="89"/>
      <c r="M265" s="58"/>
      <c r="N265" s="44"/>
      <c r="O265" s="44"/>
      <c r="P265" s="65"/>
    </row>
    <row r="266" spans="9:16" x14ac:dyDescent="0.3">
      <c r="I266" s="89"/>
      <c r="J266" s="15"/>
      <c r="K266" s="29"/>
      <c r="L266" s="89"/>
      <c r="M266" s="58"/>
      <c r="N266" s="44"/>
      <c r="O266" s="44"/>
      <c r="P266" s="65"/>
    </row>
    <row r="267" spans="9:16" x14ac:dyDescent="0.3">
      <c r="I267" s="89"/>
      <c r="J267" s="15"/>
      <c r="K267" s="29"/>
      <c r="L267" s="89"/>
      <c r="M267" s="58"/>
      <c r="N267" s="44"/>
      <c r="O267" s="44"/>
      <c r="P267" s="65"/>
    </row>
    <row r="268" spans="9:16" x14ac:dyDescent="0.3">
      <c r="I268" s="89"/>
      <c r="J268" s="15"/>
      <c r="K268" s="29"/>
      <c r="L268" s="89"/>
      <c r="M268" s="58"/>
      <c r="N268" s="44"/>
      <c r="O268" s="44"/>
      <c r="P268" s="65"/>
    </row>
    <row r="269" spans="9:16" x14ac:dyDescent="0.3">
      <c r="I269" s="89"/>
      <c r="J269" s="15"/>
      <c r="K269" s="29"/>
      <c r="L269" s="89"/>
      <c r="M269" s="58"/>
      <c r="N269" s="44"/>
      <c r="O269" s="44"/>
      <c r="P269" s="65"/>
    </row>
    <row r="270" spans="9:16" x14ac:dyDescent="0.3">
      <c r="I270" s="89"/>
      <c r="J270" s="15"/>
      <c r="K270" s="29"/>
      <c r="L270" s="89"/>
      <c r="M270" s="58"/>
      <c r="N270" s="44"/>
      <c r="O270" s="44"/>
      <c r="P270" s="65"/>
    </row>
    <row r="271" spans="9:16" x14ac:dyDescent="0.3">
      <c r="I271" s="89"/>
      <c r="J271" s="15"/>
      <c r="K271" s="29"/>
      <c r="L271" s="89"/>
      <c r="M271" s="58"/>
      <c r="N271" s="44"/>
      <c r="O271" s="44"/>
      <c r="P271" s="65"/>
    </row>
    <row r="272" spans="9:16" x14ac:dyDescent="0.3">
      <c r="I272" s="89"/>
      <c r="J272" s="15"/>
      <c r="K272" s="29"/>
      <c r="L272" s="89"/>
      <c r="M272" s="58"/>
      <c r="N272" s="44"/>
      <c r="O272" s="44"/>
      <c r="P272" s="65"/>
    </row>
    <row r="273" spans="9:16" x14ac:dyDescent="0.3">
      <c r="I273" s="89"/>
      <c r="J273" s="15"/>
      <c r="K273" s="29"/>
      <c r="L273" s="89"/>
      <c r="M273" s="58"/>
      <c r="N273" s="44"/>
      <c r="O273" s="44"/>
      <c r="P273" s="65"/>
    </row>
    <row r="274" spans="9:16" x14ac:dyDescent="0.3">
      <c r="I274" s="89"/>
      <c r="J274" s="15"/>
      <c r="K274" s="29"/>
      <c r="L274" s="89"/>
      <c r="M274" s="58"/>
      <c r="N274" s="44"/>
      <c r="O274" s="44"/>
      <c r="P274" s="65"/>
    </row>
    <row r="275" spans="9:16" x14ac:dyDescent="0.3">
      <c r="I275" s="89"/>
      <c r="J275" s="15"/>
      <c r="K275" s="29"/>
      <c r="L275" s="89"/>
      <c r="M275" s="58"/>
      <c r="N275" s="44"/>
      <c r="O275" s="44"/>
      <c r="P275" s="65"/>
    </row>
    <row r="276" spans="9:16" x14ac:dyDescent="0.3">
      <c r="I276" s="89"/>
      <c r="J276" s="15"/>
      <c r="K276" s="29"/>
      <c r="L276" s="89"/>
      <c r="M276" s="58"/>
      <c r="N276" s="44"/>
      <c r="O276" s="44"/>
      <c r="P276" s="65"/>
    </row>
    <row r="277" spans="9:16" x14ac:dyDescent="0.3">
      <c r="I277" s="89"/>
      <c r="J277" s="15"/>
      <c r="K277" s="29"/>
      <c r="L277" s="89"/>
      <c r="M277" s="58"/>
      <c r="N277" s="44"/>
      <c r="O277" s="44"/>
      <c r="P277" s="65"/>
    </row>
    <row r="278" spans="9:16" x14ac:dyDescent="0.3">
      <c r="I278" s="89"/>
      <c r="J278" s="15"/>
      <c r="K278" s="29"/>
      <c r="L278" s="89"/>
      <c r="M278" s="58"/>
      <c r="N278" s="44"/>
      <c r="O278" s="44"/>
      <c r="P278" s="65"/>
    </row>
    <row r="279" spans="9:16" x14ac:dyDescent="0.3">
      <c r="I279" s="89"/>
      <c r="J279" s="15"/>
      <c r="K279" s="29"/>
      <c r="L279" s="89"/>
      <c r="M279" s="58"/>
      <c r="N279" s="44"/>
      <c r="O279" s="44"/>
      <c r="P279" s="65"/>
    </row>
    <row r="280" spans="9:16" x14ac:dyDescent="0.3">
      <c r="I280" s="89"/>
      <c r="J280" s="15"/>
      <c r="K280" s="29"/>
      <c r="L280" s="89"/>
      <c r="M280" s="58"/>
      <c r="N280" s="44"/>
      <c r="O280" s="44"/>
      <c r="P280" s="65"/>
    </row>
    <row r="281" spans="9:16" x14ac:dyDescent="0.3">
      <c r="I281" s="89"/>
      <c r="J281" s="15"/>
      <c r="K281" s="29"/>
      <c r="L281" s="89"/>
      <c r="M281" s="58"/>
      <c r="N281" s="44"/>
      <c r="O281" s="44"/>
      <c r="P281" s="65"/>
    </row>
    <row r="282" spans="9:16" x14ac:dyDescent="0.3">
      <c r="I282" s="89"/>
      <c r="J282" s="15"/>
      <c r="K282" s="29"/>
      <c r="L282" s="89"/>
      <c r="M282" s="58"/>
      <c r="N282" s="44"/>
      <c r="O282" s="44"/>
      <c r="P282" s="65"/>
    </row>
    <row r="283" spans="9:16" x14ac:dyDescent="0.3">
      <c r="I283" s="89"/>
      <c r="J283" s="15"/>
      <c r="K283" s="29"/>
      <c r="L283" s="89"/>
      <c r="M283" s="58"/>
      <c r="N283" s="44"/>
      <c r="O283" s="44"/>
      <c r="P283" s="65"/>
    </row>
    <row r="284" spans="9:16" x14ac:dyDescent="0.3">
      <c r="I284" s="89"/>
      <c r="J284" s="15"/>
      <c r="K284" s="29"/>
      <c r="L284" s="89"/>
      <c r="M284" s="58"/>
      <c r="N284" s="44"/>
      <c r="O284" s="44"/>
      <c r="P284" s="65"/>
    </row>
    <row r="285" spans="9:16" x14ac:dyDescent="0.3">
      <c r="I285" s="89"/>
      <c r="J285" s="15"/>
      <c r="K285" s="29"/>
      <c r="L285" s="89"/>
      <c r="M285" s="58"/>
      <c r="N285" s="44"/>
      <c r="O285" s="44"/>
      <c r="P285" s="65"/>
    </row>
    <row r="286" spans="9:16" x14ac:dyDescent="0.3">
      <c r="I286" s="89"/>
      <c r="J286" s="15"/>
      <c r="K286" s="29"/>
      <c r="L286" s="89"/>
      <c r="M286" s="58"/>
      <c r="N286" s="44"/>
      <c r="O286" s="44"/>
      <c r="P286" s="65"/>
    </row>
    <row r="287" spans="9:16" x14ac:dyDescent="0.3">
      <c r="I287" s="89"/>
      <c r="J287" s="15"/>
      <c r="K287" s="29"/>
      <c r="L287" s="89"/>
      <c r="M287" s="58"/>
      <c r="N287" s="44"/>
      <c r="O287" s="44"/>
      <c r="P287" s="65"/>
    </row>
    <row r="288" spans="9:16" x14ac:dyDescent="0.3">
      <c r="I288" s="89"/>
      <c r="J288" s="15"/>
      <c r="K288" s="29"/>
      <c r="L288" s="89"/>
      <c r="M288" s="58"/>
      <c r="N288" s="44"/>
      <c r="O288" s="44"/>
      <c r="P288" s="65"/>
    </row>
    <row r="289" spans="9:16" x14ac:dyDescent="0.3">
      <c r="I289" s="89"/>
      <c r="J289" s="15"/>
      <c r="K289" s="29"/>
      <c r="L289" s="89"/>
      <c r="M289" s="58"/>
      <c r="N289" s="44"/>
      <c r="O289" s="44"/>
      <c r="P289" s="65"/>
    </row>
    <row r="290" spans="9:16" x14ac:dyDescent="0.3">
      <c r="I290" s="89"/>
      <c r="J290" s="15"/>
      <c r="K290" s="29"/>
      <c r="L290" s="89"/>
      <c r="M290" s="58"/>
      <c r="N290" s="44"/>
      <c r="O290" s="44"/>
      <c r="P290" s="65"/>
    </row>
    <row r="291" spans="9:16" x14ac:dyDescent="0.3">
      <c r="I291" s="89"/>
      <c r="J291" s="15"/>
      <c r="K291" s="29"/>
      <c r="L291" s="89"/>
      <c r="M291" s="58"/>
      <c r="N291" s="44"/>
      <c r="O291" s="44"/>
      <c r="P291" s="65"/>
    </row>
    <row r="292" spans="9:16" x14ac:dyDescent="0.3">
      <c r="I292" s="89"/>
      <c r="J292" s="15"/>
      <c r="K292" s="29"/>
      <c r="L292" s="89"/>
      <c r="M292" s="58"/>
      <c r="N292" s="44"/>
      <c r="O292" s="44"/>
      <c r="P292" s="65"/>
    </row>
    <row r="293" spans="9:16" x14ac:dyDescent="0.3">
      <c r="I293" s="89"/>
      <c r="J293" s="15"/>
      <c r="K293" s="29"/>
      <c r="L293" s="89"/>
      <c r="M293" s="58"/>
      <c r="N293" s="44"/>
      <c r="O293" s="44"/>
      <c r="P293" s="65"/>
    </row>
    <row r="294" spans="9:16" x14ac:dyDescent="0.3">
      <c r="I294" s="89"/>
      <c r="J294" s="15"/>
      <c r="K294" s="29"/>
      <c r="L294" s="89"/>
      <c r="M294" s="58"/>
      <c r="N294" s="44"/>
      <c r="O294" s="44"/>
      <c r="P294" s="65"/>
    </row>
    <row r="295" spans="9:16" x14ac:dyDescent="0.3">
      <c r="I295" s="89"/>
      <c r="J295" s="15"/>
      <c r="K295" s="29"/>
      <c r="L295" s="89"/>
      <c r="M295" s="58"/>
      <c r="N295" s="44"/>
      <c r="O295" s="44"/>
      <c r="P295" s="65"/>
    </row>
    <row r="296" spans="9:16" x14ac:dyDescent="0.3">
      <c r="I296" s="89"/>
      <c r="J296" s="15"/>
      <c r="K296" s="29"/>
      <c r="L296" s="89"/>
      <c r="M296" s="58"/>
      <c r="N296" s="44"/>
      <c r="O296" s="44"/>
      <c r="P296" s="65"/>
    </row>
    <row r="297" spans="9:16" x14ac:dyDescent="0.3">
      <c r="I297" s="89"/>
      <c r="J297" s="15"/>
      <c r="K297" s="29"/>
      <c r="L297" s="89"/>
      <c r="M297" s="58"/>
      <c r="N297" s="44"/>
      <c r="O297" s="44"/>
      <c r="P297" s="65"/>
    </row>
    <row r="298" spans="9:16" x14ac:dyDescent="0.3">
      <c r="I298" s="89"/>
      <c r="J298" s="15"/>
      <c r="K298" s="29"/>
      <c r="L298" s="89"/>
      <c r="M298" s="58"/>
      <c r="N298" s="44"/>
      <c r="O298" s="44"/>
      <c r="P298" s="65"/>
    </row>
    <row r="299" spans="9:16" x14ac:dyDescent="0.3">
      <c r="I299" s="89"/>
      <c r="J299" s="15"/>
      <c r="K299" s="29"/>
      <c r="L299" s="89"/>
      <c r="M299" s="58"/>
      <c r="N299" s="44"/>
      <c r="O299" s="44"/>
      <c r="P299" s="65"/>
    </row>
    <row r="300" spans="9:16" x14ac:dyDescent="0.3">
      <c r="I300" s="89"/>
      <c r="J300" s="15"/>
      <c r="K300" s="29"/>
      <c r="L300" s="89"/>
      <c r="M300" s="58"/>
      <c r="N300" s="44"/>
      <c r="O300" s="44"/>
      <c r="P300" s="65"/>
    </row>
    <row r="301" spans="9:16" x14ac:dyDescent="0.3">
      <c r="I301" s="89"/>
      <c r="J301" s="15"/>
      <c r="K301" s="29"/>
      <c r="L301" s="89"/>
      <c r="M301" s="58"/>
      <c r="N301" s="44"/>
      <c r="O301" s="44"/>
      <c r="P301" s="65"/>
    </row>
    <row r="302" spans="9:16" x14ac:dyDescent="0.3">
      <c r="I302" s="89"/>
      <c r="J302" s="15"/>
      <c r="K302" s="29"/>
      <c r="L302" s="89"/>
      <c r="M302" s="58"/>
      <c r="N302" s="44"/>
      <c r="O302" s="44"/>
      <c r="P302" s="65"/>
    </row>
    <row r="303" spans="9:16" x14ac:dyDescent="0.3">
      <c r="I303" s="89"/>
      <c r="J303" s="15"/>
      <c r="K303" s="29"/>
      <c r="L303" s="89"/>
      <c r="M303" s="58"/>
      <c r="N303" s="44"/>
      <c r="O303" s="44"/>
      <c r="P303" s="65"/>
    </row>
    <row r="304" spans="9:16" x14ac:dyDescent="0.3">
      <c r="I304" s="89"/>
      <c r="J304" s="15"/>
      <c r="K304" s="29"/>
      <c r="L304" s="89"/>
      <c r="M304" s="58"/>
      <c r="N304" s="44"/>
      <c r="O304" s="44"/>
      <c r="P304" s="65"/>
    </row>
    <row r="305" spans="9:16" x14ac:dyDescent="0.3">
      <c r="I305" s="89"/>
      <c r="J305" s="15"/>
      <c r="K305" s="29"/>
      <c r="L305" s="89"/>
      <c r="M305" s="58"/>
      <c r="N305" s="44"/>
      <c r="O305" s="44"/>
      <c r="P305" s="65"/>
    </row>
    <row r="306" spans="9:16" x14ac:dyDescent="0.3">
      <c r="I306" s="89"/>
      <c r="J306" s="15"/>
      <c r="K306" s="29"/>
      <c r="L306" s="89"/>
      <c r="M306" s="58"/>
      <c r="N306" s="44"/>
      <c r="O306" s="44"/>
      <c r="P306" s="65"/>
    </row>
    <row r="307" spans="9:16" x14ac:dyDescent="0.3">
      <c r="I307" s="89"/>
      <c r="J307" s="15"/>
      <c r="K307" s="29"/>
      <c r="L307" s="89"/>
      <c r="M307" s="58"/>
      <c r="N307" s="44"/>
      <c r="O307" s="44"/>
      <c r="P307" s="65"/>
    </row>
    <row r="308" spans="9:16" x14ac:dyDescent="0.3">
      <c r="I308" s="89"/>
      <c r="J308" s="15"/>
      <c r="K308" s="29"/>
      <c r="L308" s="89"/>
      <c r="M308" s="58"/>
      <c r="N308" s="44"/>
      <c r="O308" s="44"/>
      <c r="P308" s="65"/>
    </row>
    <row r="309" spans="9:16" x14ac:dyDescent="0.3">
      <c r="I309" s="89"/>
      <c r="J309" s="15"/>
      <c r="K309" s="29"/>
      <c r="L309" s="89"/>
      <c r="M309" s="58"/>
      <c r="N309" s="44"/>
      <c r="O309" s="44"/>
      <c r="P309" s="65"/>
    </row>
    <row r="310" spans="9:16" x14ac:dyDescent="0.3">
      <c r="I310" s="89"/>
      <c r="J310" s="15"/>
      <c r="K310" s="29"/>
      <c r="L310" s="89"/>
      <c r="M310" s="58"/>
      <c r="N310" s="44"/>
      <c r="O310" s="44"/>
      <c r="P310" s="65"/>
    </row>
    <row r="311" spans="9:16" x14ac:dyDescent="0.3">
      <c r="I311" s="89"/>
      <c r="J311" s="15"/>
      <c r="K311" s="29"/>
      <c r="L311" s="89"/>
      <c r="M311" s="58"/>
      <c r="N311" s="44"/>
      <c r="O311" s="44"/>
      <c r="P311" s="65"/>
    </row>
    <row r="312" spans="9:16" x14ac:dyDescent="0.3">
      <c r="I312" s="89"/>
      <c r="J312" s="15"/>
      <c r="K312" s="29"/>
      <c r="L312" s="89"/>
      <c r="M312" s="58"/>
      <c r="N312" s="44"/>
      <c r="O312" s="44"/>
      <c r="P312" s="65"/>
    </row>
    <row r="313" spans="9:16" x14ac:dyDescent="0.3">
      <c r="I313" s="89"/>
      <c r="J313" s="15"/>
      <c r="K313" s="29"/>
      <c r="L313" s="89"/>
      <c r="M313" s="58"/>
      <c r="N313" s="44"/>
      <c r="O313" s="44"/>
      <c r="P313" s="65"/>
    </row>
    <row r="314" spans="9:16" x14ac:dyDescent="0.3">
      <c r="I314" s="89"/>
      <c r="J314" s="15"/>
      <c r="K314" s="29"/>
      <c r="L314" s="89"/>
      <c r="M314" s="58"/>
      <c r="N314" s="44"/>
      <c r="O314" s="44"/>
      <c r="P314" s="65"/>
    </row>
    <row r="315" spans="9:16" x14ac:dyDescent="0.3">
      <c r="I315" s="89"/>
      <c r="J315" s="15"/>
      <c r="K315" s="29"/>
      <c r="L315" s="89"/>
      <c r="M315" s="58"/>
      <c r="N315" s="44"/>
      <c r="O315" s="44"/>
      <c r="P315" s="65"/>
    </row>
    <row r="316" spans="9:16" x14ac:dyDescent="0.3">
      <c r="I316" s="89"/>
      <c r="J316" s="15"/>
      <c r="K316" s="29"/>
      <c r="L316" s="89"/>
      <c r="M316" s="58"/>
      <c r="N316" s="44"/>
      <c r="O316" s="44"/>
      <c r="P316" s="65"/>
    </row>
    <row r="317" spans="9:16" x14ac:dyDescent="0.3">
      <c r="I317" s="89"/>
      <c r="J317" s="15"/>
      <c r="K317" s="29"/>
      <c r="L317" s="89"/>
      <c r="M317" s="58"/>
      <c r="N317" s="44"/>
      <c r="O317" s="44"/>
      <c r="P317" s="65"/>
    </row>
    <row r="318" spans="9:16" x14ac:dyDescent="0.3">
      <c r="I318" s="89"/>
      <c r="J318" s="15"/>
      <c r="K318" s="29"/>
      <c r="L318" s="89"/>
      <c r="M318" s="58"/>
      <c r="N318" s="44"/>
      <c r="O318" s="44"/>
      <c r="P318" s="65"/>
    </row>
    <row r="319" spans="9:16" x14ac:dyDescent="0.3">
      <c r="I319" s="89"/>
      <c r="J319" s="15"/>
      <c r="K319" s="29"/>
      <c r="L319" s="89"/>
      <c r="M319" s="58"/>
      <c r="N319" s="44"/>
      <c r="O319" s="44"/>
      <c r="P319" s="65"/>
    </row>
    <row r="320" spans="9:16" x14ac:dyDescent="0.3">
      <c r="I320" s="89"/>
      <c r="J320" s="15"/>
      <c r="K320" s="29"/>
      <c r="L320" s="89"/>
      <c r="M320" s="58"/>
      <c r="N320" s="44"/>
      <c r="O320" s="44"/>
      <c r="P320" s="65"/>
    </row>
    <row r="321" spans="9:16" x14ac:dyDescent="0.3">
      <c r="I321" s="89"/>
      <c r="J321" s="15"/>
      <c r="K321" s="29"/>
      <c r="L321" s="89"/>
      <c r="M321" s="58"/>
      <c r="N321" s="44"/>
      <c r="O321" s="44"/>
      <c r="P321" s="65"/>
    </row>
    <row r="322" spans="9:16" x14ac:dyDescent="0.3">
      <c r="I322" s="89"/>
      <c r="J322" s="15"/>
      <c r="K322" s="29"/>
      <c r="L322" s="89"/>
      <c r="M322" s="58"/>
      <c r="N322" s="44"/>
      <c r="O322" s="44"/>
      <c r="P322" s="65"/>
    </row>
    <row r="323" spans="9:16" x14ac:dyDescent="0.3">
      <c r="I323" s="89"/>
      <c r="J323" s="15"/>
      <c r="K323" s="29"/>
      <c r="L323" s="89"/>
      <c r="M323" s="58"/>
      <c r="N323" s="44"/>
      <c r="O323" s="44"/>
      <c r="P323" s="65"/>
    </row>
    <row r="324" spans="9:16" x14ac:dyDescent="0.3">
      <c r="I324" s="89"/>
      <c r="J324" s="15"/>
      <c r="K324" s="29"/>
      <c r="L324" s="89"/>
      <c r="M324" s="58"/>
      <c r="N324" s="44"/>
      <c r="O324" s="44"/>
      <c r="P324" s="65"/>
    </row>
    <row r="325" spans="9:16" x14ac:dyDescent="0.3">
      <c r="I325" s="89"/>
      <c r="J325" s="15"/>
      <c r="K325" s="29"/>
      <c r="L325" s="89"/>
      <c r="M325" s="58"/>
      <c r="N325" s="44"/>
      <c r="O325" s="44"/>
      <c r="P325" s="65"/>
    </row>
    <row r="326" spans="9:16" x14ac:dyDescent="0.3">
      <c r="I326" s="89"/>
      <c r="J326" s="15"/>
      <c r="K326" s="29"/>
      <c r="L326" s="89"/>
      <c r="M326" s="58"/>
      <c r="N326" s="44"/>
      <c r="O326" s="44"/>
      <c r="P326" s="65"/>
    </row>
    <row r="327" spans="9:16" x14ac:dyDescent="0.3">
      <c r="I327" s="89"/>
      <c r="J327" s="15"/>
      <c r="K327" s="29"/>
      <c r="L327" s="89"/>
      <c r="M327" s="58"/>
      <c r="N327" s="44"/>
      <c r="O327" s="44"/>
      <c r="P327" s="65"/>
    </row>
    <row r="328" spans="9:16" x14ac:dyDescent="0.3">
      <c r="I328" s="89"/>
      <c r="J328" s="15"/>
      <c r="K328" s="29"/>
      <c r="L328" s="89"/>
      <c r="M328" s="58"/>
      <c r="N328" s="44"/>
      <c r="O328" s="44"/>
      <c r="P328" s="65"/>
    </row>
    <row r="329" spans="9:16" x14ac:dyDescent="0.3">
      <c r="I329" s="89"/>
      <c r="J329" s="15"/>
      <c r="K329" s="29"/>
      <c r="L329" s="89"/>
      <c r="M329" s="58"/>
      <c r="N329" s="44"/>
      <c r="O329" s="44"/>
      <c r="P329" s="65"/>
    </row>
    <row r="330" spans="9:16" x14ac:dyDescent="0.3">
      <c r="I330" s="89"/>
      <c r="J330" s="15"/>
      <c r="K330" s="29"/>
      <c r="L330" s="89"/>
      <c r="M330" s="58"/>
      <c r="N330" s="44"/>
      <c r="O330" s="44"/>
      <c r="P330" s="65"/>
    </row>
    <row r="331" spans="9:16" x14ac:dyDescent="0.3">
      <c r="I331" s="89"/>
      <c r="J331" s="15"/>
      <c r="K331" s="29"/>
      <c r="L331" s="89"/>
      <c r="M331" s="58"/>
      <c r="N331" s="44"/>
      <c r="O331" s="44"/>
      <c r="P331" s="65"/>
    </row>
    <row r="332" spans="9:16" x14ac:dyDescent="0.3">
      <c r="I332" s="89"/>
      <c r="J332" s="15"/>
      <c r="K332" s="29"/>
      <c r="L332" s="89"/>
      <c r="M332" s="58"/>
      <c r="N332" s="44"/>
      <c r="O332" s="44"/>
      <c r="P332" s="65"/>
    </row>
    <row r="333" spans="9:16" x14ac:dyDescent="0.3">
      <c r="I333" s="89"/>
      <c r="J333" s="15"/>
      <c r="K333" s="29"/>
      <c r="L333" s="89"/>
      <c r="M333" s="58"/>
      <c r="N333" s="44"/>
      <c r="O333" s="44"/>
      <c r="P333" s="65"/>
    </row>
    <row r="334" spans="9:16" x14ac:dyDescent="0.3">
      <c r="I334" s="89"/>
      <c r="J334" s="15"/>
      <c r="K334" s="29"/>
      <c r="L334" s="89"/>
      <c r="M334" s="58"/>
      <c r="N334" s="44"/>
      <c r="O334" s="44"/>
      <c r="P334" s="65"/>
    </row>
    <row r="335" spans="9:16" x14ac:dyDescent="0.3">
      <c r="I335" s="89"/>
      <c r="J335" s="15"/>
      <c r="K335" s="29"/>
      <c r="L335" s="89"/>
      <c r="M335" s="58"/>
      <c r="N335" s="44"/>
      <c r="O335" s="44"/>
      <c r="P335" s="65"/>
    </row>
    <row r="336" spans="9:16" x14ac:dyDescent="0.3">
      <c r="I336" s="89"/>
      <c r="J336" s="15"/>
      <c r="K336" s="29"/>
      <c r="L336" s="89"/>
      <c r="M336" s="58"/>
      <c r="N336" s="44"/>
      <c r="O336" s="44"/>
      <c r="P336" s="65"/>
    </row>
    <row r="337" spans="9:16" x14ac:dyDescent="0.3">
      <c r="I337" s="89"/>
      <c r="J337" s="15"/>
      <c r="K337" s="29"/>
      <c r="L337" s="89"/>
      <c r="M337" s="58"/>
      <c r="N337" s="44"/>
      <c r="O337" s="44"/>
      <c r="P337" s="65"/>
    </row>
    <row r="338" spans="9:16" x14ac:dyDescent="0.3">
      <c r="I338" s="89"/>
      <c r="J338" s="15"/>
      <c r="K338" s="29"/>
      <c r="L338" s="89"/>
      <c r="M338" s="58"/>
      <c r="N338" s="44"/>
      <c r="O338" s="44"/>
      <c r="P338" s="65"/>
    </row>
    <row r="339" spans="9:16" x14ac:dyDescent="0.3">
      <c r="I339" s="89"/>
      <c r="J339" s="15"/>
      <c r="K339" s="29"/>
      <c r="L339" s="89"/>
      <c r="M339" s="58"/>
      <c r="N339" s="44"/>
      <c r="O339" s="44"/>
      <c r="P339" s="65"/>
    </row>
    <row r="340" spans="9:16" x14ac:dyDescent="0.3">
      <c r="I340" s="89"/>
      <c r="J340" s="15"/>
      <c r="K340" s="29"/>
      <c r="L340" s="89"/>
      <c r="M340" s="58"/>
      <c r="N340" s="44"/>
      <c r="O340" s="44"/>
      <c r="P340" s="65"/>
    </row>
    <row r="341" spans="9:16" x14ac:dyDescent="0.3">
      <c r="I341" s="89"/>
      <c r="J341" s="15"/>
      <c r="K341" s="29"/>
      <c r="L341" s="89"/>
      <c r="M341" s="58"/>
      <c r="N341" s="44"/>
      <c r="O341" s="44"/>
      <c r="P341" s="65"/>
    </row>
    <row r="342" spans="9:16" x14ac:dyDescent="0.3">
      <c r="I342" s="89"/>
      <c r="J342" s="15"/>
      <c r="K342" s="29"/>
      <c r="L342" s="89"/>
      <c r="M342" s="58"/>
      <c r="N342" s="44"/>
      <c r="O342" s="44"/>
      <c r="P342" s="65"/>
    </row>
    <row r="343" spans="9:16" x14ac:dyDescent="0.3">
      <c r="I343" s="89"/>
      <c r="J343" s="15"/>
      <c r="K343" s="29"/>
      <c r="L343" s="89"/>
      <c r="M343" s="58"/>
      <c r="N343" s="44"/>
      <c r="O343" s="44"/>
      <c r="P343" s="65"/>
    </row>
    <row r="344" spans="9:16" x14ac:dyDescent="0.3">
      <c r="I344" s="89"/>
      <c r="J344" s="15"/>
      <c r="K344" s="29"/>
      <c r="L344" s="89"/>
      <c r="M344" s="58"/>
      <c r="N344" s="44"/>
      <c r="O344" s="44"/>
      <c r="P344" s="65"/>
    </row>
    <row r="345" spans="9:16" x14ac:dyDescent="0.3">
      <c r="I345" s="89"/>
      <c r="J345" s="15"/>
      <c r="K345" s="29"/>
      <c r="L345" s="89"/>
      <c r="M345" s="58"/>
      <c r="N345" s="44"/>
      <c r="O345" s="44"/>
      <c r="P345" s="44"/>
    </row>
    <row r="346" spans="9:16" x14ac:dyDescent="0.3">
      <c r="I346" s="89"/>
      <c r="J346" s="15"/>
      <c r="K346" s="29"/>
      <c r="L346" s="89"/>
      <c r="M346" s="58"/>
      <c r="N346" s="44"/>
      <c r="O346" s="44"/>
      <c r="P346" s="65"/>
    </row>
    <row r="347" spans="9:16" x14ac:dyDescent="0.3">
      <c r="I347" s="89"/>
      <c r="J347" s="15"/>
      <c r="K347" s="29"/>
      <c r="L347" s="89"/>
      <c r="M347" s="58"/>
      <c r="N347" s="44"/>
      <c r="O347" s="44"/>
      <c r="P347" s="65"/>
    </row>
    <row r="348" spans="9:16" x14ac:dyDescent="0.3">
      <c r="I348" s="89"/>
      <c r="J348" s="15"/>
      <c r="K348" s="29"/>
      <c r="L348" s="89"/>
      <c r="M348" s="58"/>
      <c r="N348" s="44"/>
      <c r="O348" s="44"/>
      <c r="P348" s="65"/>
    </row>
    <row r="349" spans="9:16" x14ac:dyDescent="0.3">
      <c r="I349" s="89"/>
      <c r="J349" s="15"/>
      <c r="K349" s="29"/>
      <c r="L349" s="89"/>
      <c r="M349" s="58"/>
      <c r="N349" s="44"/>
      <c r="O349" s="44"/>
      <c r="P349" s="65"/>
    </row>
    <row r="350" spans="9:16" x14ac:dyDescent="0.3">
      <c r="I350" s="89"/>
      <c r="J350" s="15"/>
      <c r="K350" s="29"/>
      <c r="L350" s="89"/>
      <c r="M350" s="58"/>
      <c r="N350" s="44"/>
      <c r="O350" s="44"/>
      <c r="P350" s="65"/>
    </row>
    <row r="351" spans="9:16" x14ac:dyDescent="0.3">
      <c r="I351" s="89"/>
      <c r="J351" s="15"/>
      <c r="K351" s="29"/>
      <c r="L351" s="89"/>
      <c r="M351" s="58"/>
      <c r="N351" s="44"/>
      <c r="O351" s="44"/>
      <c r="P351" s="65"/>
    </row>
    <row r="352" spans="9:16" x14ac:dyDescent="0.3">
      <c r="I352" s="89"/>
      <c r="J352" s="15"/>
      <c r="K352" s="29"/>
      <c r="L352" s="89"/>
      <c r="M352" s="58"/>
      <c r="N352" s="44"/>
      <c r="O352" s="44"/>
      <c r="P352" s="65"/>
    </row>
    <row r="353" spans="9:16" x14ac:dyDescent="0.3">
      <c r="I353" s="89"/>
      <c r="J353" s="15"/>
      <c r="K353" s="29"/>
      <c r="L353" s="89"/>
      <c r="M353" s="58"/>
      <c r="N353" s="44"/>
      <c r="O353" s="44"/>
      <c r="P353" s="65"/>
    </row>
    <row r="354" spans="9:16" x14ac:dyDescent="0.3">
      <c r="I354" s="89"/>
      <c r="J354" s="15"/>
      <c r="K354" s="29"/>
      <c r="L354" s="89"/>
      <c r="M354" s="58"/>
      <c r="N354" s="44"/>
      <c r="O354" s="44"/>
      <c r="P354" s="65"/>
    </row>
    <row r="355" spans="9:16" x14ac:dyDescent="0.3">
      <c r="I355" s="89"/>
      <c r="J355" s="15"/>
      <c r="K355" s="29"/>
      <c r="L355" s="89"/>
      <c r="M355" s="58"/>
      <c r="N355" s="44"/>
      <c r="O355" s="44"/>
      <c r="P355" s="65"/>
    </row>
    <row r="356" spans="9:16" x14ac:dyDescent="0.3">
      <c r="I356" s="89"/>
      <c r="J356" s="15"/>
      <c r="K356" s="29"/>
      <c r="L356" s="89"/>
      <c r="M356" s="58"/>
      <c r="N356" s="44"/>
      <c r="O356" s="44"/>
      <c r="P356" s="65"/>
    </row>
    <row r="357" spans="9:16" x14ac:dyDescent="0.3">
      <c r="I357" s="89"/>
      <c r="J357" s="15"/>
      <c r="K357" s="29"/>
      <c r="L357" s="89"/>
      <c r="M357" s="58"/>
      <c r="N357" s="44"/>
      <c r="O357" s="44"/>
      <c r="P357" s="65"/>
    </row>
    <row r="358" spans="9:16" x14ac:dyDescent="0.3">
      <c r="I358" s="89"/>
      <c r="J358" s="15"/>
      <c r="K358" s="29"/>
      <c r="L358" s="89"/>
      <c r="M358" s="58"/>
      <c r="N358" s="44"/>
      <c r="O358" s="44"/>
      <c r="P358" s="65"/>
    </row>
    <row r="359" spans="9:16" x14ac:dyDescent="0.3">
      <c r="I359" s="89"/>
      <c r="J359" s="15"/>
      <c r="K359" s="29"/>
      <c r="L359" s="89"/>
      <c r="M359" s="58"/>
      <c r="N359" s="44"/>
      <c r="O359" s="44"/>
      <c r="P359" s="65"/>
    </row>
    <row r="360" spans="9:16" x14ac:dyDescent="0.3">
      <c r="I360" s="89"/>
      <c r="J360" s="15"/>
      <c r="K360" s="29"/>
      <c r="L360" s="89"/>
      <c r="M360" s="58"/>
      <c r="N360" s="44"/>
      <c r="O360" s="44"/>
      <c r="P360" s="65"/>
    </row>
    <row r="361" spans="9:16" x14ac:dyDescent="0.3">
      <c r="I361" s="89"/>
      <c r="J361" s="15"/>
      <c r="K361" s="29"/>
      <c r="L361" s="89"/>
      <c r="M361" s="58"/>
      <c r="N361" s="44"/>
      <c r="O361" s="44"/>
      <c r="P361" s="65"/>
    </row>
    <row r="362" spans="9:16" x14ac:dyDescent="0.3">
      <c r="I362" s="89"/>
      <c r="J362" s="15"/>
      <c r="K362" s="29"/>
      <c r="L362" s="89"/>
      <c r="M362" s="58"/>
      <c r="N362" s="44"/>
      <c r="O362" s="44"/>
      <c r="P362" s="65"/>
    </row>
    <row r="363" spans="9:16" x14ac:dyDescent="0.3">
      <c r="I363" s="89"/>
      <c r="J363" s="15"/>
      <c r="K363" s="29"/>
      <c r="L363" s="89"/>
      <c r="M363" s="58"/>
      <c r="N363" s="44"/>
      <c r="O363" s="44"/>
      <c r="P363" s="65"/>
    </row>
    <row r="364" spans="9:16" x14ac:dyDescent="0.3">
      <c r="I364" s="89"/>
      <c r="J364" s="15"/>
      <c r="K364" s="29"/>
      <c r="L364" s="89"/>
      <c r="M364" s="58"/>
      <c r="N364" s="44"/>
      <c r="O364" s="44"/>
      <c r="P364" s="65"/>
    </row>
    <row r="365" spans="9:16" x14ac:dyDescent="0.3">
      <c r="I365" s="89"/>
      <c r="J365" s="15"/>
      <c r="K365" s="29"/>
      <c r="L365" s="89"/>
      <c r="M365" s="58"/>
      <c r="N365" s="44"/>
      <c r="O365" s="44"/>
      <c r="P365" s="65"/>
    </row>
    <row r="366" spans="9:16" x14ac:dyDescent="0.3">
      <c r="I366" s="89"/>
      <c r="J366" s="15"/>
      <c r="K366" s="29"/>
      <c r="L366" s="89"/>
      <c r="M366" s="58"/>
      <c r="N366" s="44"/>
      <c r="O366" s="44"/>
      <c r="P366" s="65"/>
    </row>
    <row r="367" spans="9:16" x14ac:dyDescent="0.3">
      <c r="I367" s="89"/>
      <c r="J367" s="15"/>
      <c r="K367" s="29"/>
      <c r="L367" s="89"/>
      <c r="M367" s="58"/>
      <c r="N367" s="44"/>
      <c r="O367" s="44"/>
      <c r="P367" s="65"/>
    </row>
    <row r="368" spans="9:16" x14ac:dyDescent="0.3">
      <c r="I368" s="89"/>
      <c r="J368" s="15"/>
      <c r="K368" s="29"/>
      <c r="L368" s="89"/>
      <c r="M368" s="58"/>
      <c r="N368" s="44"/>
      <c r="O368" s="44"/>
      <c r="P368" s="65"/>
    </row>
    <row r="369" spans="9:16" x14ac:dyDescent="0.3">
      <c r="I369" s="89"/>
      <c r="J369" s="15"/>
      <c r="K369" s="29"/>
      <c r="L369" s="89"/>
      <c r="M369" s="58"/>
      <c r="N369" s="44"/>
      <c r="O369" s="44"/>
      <c r="P369" s="65"/>
    </row>
    <row r="370" spans="9:16" x14ac:dyDescent="0.3">
      <c r="I370" s="89"/>
      <c r="J370" s="15"/>
      <c r="K370" s="29"/>
      <c r="L370" s="89"/>
      <c r="M370" s="58"/>
      <c r="N370" s="44"/>
      <c r="O370" s="44"/>
      <c r="P370" s="65"/>
    </row>
    <row r="371" spans="9:16" x14ac:dyDescent="0.3">
      <c r="I371" s="89"/>
      <c r="J371" s="15"/>
      <c r="K371" s="29"/>
      <c r="L371" s="89"/>
      <c r="M371" s="58"/>
      <c r="N371" s="44"/>
      <c r="O371" s="44"/>
      <c r="P371" s="65"/>
    </row>
    <row r="372" spans="9:16" x14ac:dyDescent="0.3">
      <c r="I372" s="89"/>
      <c r="J372" s="15"/>
      <c r="K372" s="29"/>
      <c r="L372" s="89"/>
      <c r="M372" s="58"/>
      <c r="N372" s="44"/>
      <c r="O372" s="44"/>
      <c r="P372" s="65"/>
    </row>
    <row r="373" spans="9:16" x14ac:dyDescent="0.3">
      <c r="I373" s="89"/>
      <c r="J373" s="15"/>
      <c r="K373" s="29"/>
      <c r="L373" s="89"/>
      <c r="M373" s="58"/>
      <c r="N373" s="44"/>
      <c r="O373" s="44"/>
      <c r="P373" s="65"/>
    </row>
    <row r="374" spans="9:16" x14ac:dyDescent="0.3">
      <c r="I374" s="89"/>
      <c r="J374" s="15"/>
      <c r="K374" s="29"/>
      <c r="L374" s="89"/>
      <c r="M374" s="58"/>
      <c r="N374" s="44"/>
      <c r="O374" s="44"/>
      <c r="P374" s="65"/>
    </row>
    <row r="375" spans="9:16" x14ac:dyDescent="0.3">
      <c r="I375" s="89"/>
      <c r="J375" s="15"/>
      <c r="K375" s="29"/>
      <c r="L375" s="89"/>
      <c r="M375" s="58"/>
      <c r="N375" s="44"/>
      <c r="O375" s="44"/>
      <c r="P375" s="65"/>
    </row>
    <row r="376" spans="9:16" x14ac:dyDescent="0.3">
      <c r="I376" s="89"/>
      <c r="J376" s="15"/>
      <c r="K376" s="29"/>
      <c r="L376" s="89"/>
      <c r="M376" s="58"/>
      <c r="N376" s="44"/>
      <c r="O376" s="44"/>
      <c r="P376" s="65"/>
    </row>
    <row r="377" spans="9:16" x14ac:dyDescent="0.3">
      <c r="I377" s="89"/>
      <c r="J377" s="15"/>
      <c r="K377" s="29"/>
      <c r="L377" s="89"/>
      <c r="M377" s="58"/>
      <c r="N377" s="44"/>
      <c r="O377" s="44"/>
      <c r="P377" s="65"/>
    </row>
    <row r="378" spans="9:16" x14ac:dyDescent="0.3">
      <c r="I378" s="89"/>
      <c r="J378" s="15"/>
      <c r="K378" s="29"/>
      <c r="L378" s="89"/>
      <c r="M378" s="58"/>
      <c r="N378" s="44"/>
      <c r="O378" s="44"/>
      <c r="P378" s="65"/>
    </row>
    <row r="379" spans="9:16" x14ac:dyDescent="0.3">
      <c r="I379" s="89"/>
      <c r="J379" s="15"/>
      <c r="K379" s="29"/>
      <c r="L379" s="89"/>
      <c r="M379" s="58"/>
      <c r="N379" s="44"/>
      <c r="O379" s="44"/>
      <c r="P379" s="65"/>
    </row>
    <row r="380" spans="9:16" x14ac:dyDescent="0.3">
      <c r="I380" s="89"/>
      <c r="J380" s="15"/>
      <c r="K380" s="29"/>
      <c r="L380" s="89"/>
      <c r="M380" s="58"/>
      <c r="N380" s="44"/>
      <c r="O380" s="44"/>
      <c r="P380" s="65"/>
    </row>
    <row r="381" spans="9:16" x14ac:dyDescent="0.3">
      <c r="I381" s="89"/>
      <c r="J381" s="15"/>
      <c r="K381" s="29"/>
      <c r="L381" s="89"/>
      <c r="M381" s="58"/>
      <c r="N381" s="44"/>
      <c r="O381" s="44"/>
      <c r="P381" s="65"/>
    </row>
    <row r="382" spans="9:16" x14ac:dyDescent="0.3">
      <c r="I382" s="89"/>
      <c r="J382" s="15"/>
      <c r="K382" s="29"/>
      <c r="L382" s="89"/>
      <c r="M382" s="58"/>
      <c r="N382" s="44"/>
      <c r="O382" s="44"/>
      <c r="P382" s="65"/>
    </row>
    <row r="383" spans="9:16" x14ac:dyDescent="0.3">
      <c r="I383" s="89"/>
      <c r="J383" s="15"/>
      <c r="K383" s="29"/>
      <c r="L383" s="89"/>
      <c r="M383" s="58"/>
      <c r="N383" s="44"/>
      <c r="O383" s="44"/>
      <c r="P383" s="65"/>
    </row>
    <row r="384" spans="9:16" x14ac:dyDescent="0.3">
      <c r="I384" s="89"/>
      <c r="J384" s="15"/>
      <c r="K384" s="29"/>
      <c r="L384" s="89"/>
      <c r="M384" s="58"/>
      <c r="N384" s="44"/>
      <c r="O384" s="44"/>
      <c r="P384" s="65"/>
    </row>
    <row r="385" spans="9:16" x14ac:dyDescent="0.3">
      <c r="I385" s="89"/>
      <c r="J385" s="15"/>
      <c r="K385" s="29"/>
      <c r="L385" s="89"/>
      <c r="M385" s="58"/>
      <c r="N385" s="44"/>
      <c r="O385" s="44"/>
      <c r="P385" s="65"/>
    </row>
    <row r="386" spans="9:16" x14ac:dyDescent="0.3">
      <c r="I386" s="89"/>
      <c r="J386" s="15"/>
      <c r="K386" s="29"/>
      <c r="L386" s="89"/>
      <c r="M386" s="58"/>
      <c r="N386" s="44"/>
      <c r="O386" s="44"/>
      <c r="P386" s="65"/>
    </row>
    <row r="387" spans="9:16" x14ac:dyDescent="0.3">
      <c r="I387" s="89"/>
      <c r="J387" s="15"/>
      <c r="K387" s="29"/>
      <c r="L387" s="89"/>
      <c r="M387" s="58"/>
      <c r="N387" s="44"/>
      <c r="O387" s="44"/>
      <c r="P387" s="65"/>
    </row>
    <row r="388" spans="9:16" x14ac:dyDescent="0.3">
      <c r="I388" s="89"/>
      <c r="J388" s="15"/>
      <c r="K388" s="29"/>
      <c r="L388" s="89"/>
      <c r="M388" s="58"/>
      <c r="N388" s="44"/>
      <c r="O388" s="44"/>
      <c r="P388" s="65"/>
    </row>
    <row r="389" spans="9:16" x14ac:dyDescent="0.3">
      <c r="I389" s="89"/>
      <c r="J389" s="15"/>
      <c r="K389" s="29"/>
      <c r="L389" s="89"/>
      <c r="M389" s="58"/>
      <c r="N389" s="44"/>
      <c r="O389" s="44"/>
      <c r="P389" s="65"/>
    </row>
    <row r="390" spans="9:16" x14ac:dyDescent="0.3">
      <c r="I390" s="89"/>
      <c r="J390" s="15"/>
      <c r="K390" s="29"/>
      <c r="L390" s="89"/>
      <c r="M390" s="58"/>
      <c r="N390" s="44"/>
      <c r="O390" s="44"/>
      <c r="P390" s="65"/>
    </row>
    <row r="391" spans="9:16" x14ac:dyDescent="0.3">
      <c r="I391" s="89"/>
      <c r="J391" s="15"/>
      <c r="K391" s="29"/>
      <c r="L391" s="89"/>
      <c r="M391" s="58"/>
      <c r="N391" s="44"/>
      <c r="O391" s="44"/>
      <c r="P391" s="65"/>
    </row>
    <row r="392" spans="9:16" x14ac:dyDescent="0.3">
      <c r="I392" s="89"/>
      <c r="J392" s="15"/>
      <c r="K392" s="29"/>
      <c r="L392" s="89"/>
      <c r="M392" s="58"/>
      <c r="N392" s="44"/>
      <c r="O392" s="44"/>
      <c r="P392" s="65"/>
    </row>
    <row r="393" spans="9:16" x14ac:dyDescent="0.3">
      <c r="I393" s="89"/>
      <c r="J393" s="15"/>
      <c r="K393" s="29"/>
      <c r="L393" s="89"/>
      <c r="M393" s="58"/>
      <c r="N393" s="44"/>
      <c r="O393" s="44"/>
      <c r="P393" s="65"/>
    </row>
    <row r="394" spans="9:16" x14ac:dyDescent="0.3">
      <c r="I394" s="89"/>
      <c r="J394" s="15"/>
      <c r="K394" s="29"/>
      <c r="L394" s="89"/>
      <c r="M394" s="58"/>
      <c r="N394" s="44"/>
      <c r="O394" s="44"/>
      <c r="P394" s="65"/>
    </row>
    <row r="395" spans="9:16" x14ac:dyDescent="0.3">
      <c r="I395" s="89"/>
      <c r="J395" s="15"/>
      <c r="K395" s="29"/>
      <c r="L395" s="89"/>
      <c r="M395" s="58"/>
      <c r="N395" s="44"/>
      <c r="O395" s="44"/>
      <c r="P395" s="65"/>
    </row>
    <row r="396" spans="9:16" x14ac:dyDescent="0.3">
      <c r="I396" s="89"/>
      <c r="J396" s="15"/>
      <c r="K396" s="29"/>
      <c r="L396" s="89"/>
      <c r="M396" s="58"/>
      <c r="N396" s="44"/>
      <c r="O396" s="44"/>
      <c r="P396" s="65"/>
    </row>
    <row r="397" spans="9:16" x14ac:dyDescent="0.3">
      <c r="I397" s="89"/>
      <c r="J397" s="15"/>
      <c r="K397" s="29"/>
      <c r="L397" s="89"/>
      <c r="M397" s="58"/>
      <c r="N397" s="44"/>
      <c r="O397" s="44"/>
      <c r="P397" s="65"/>
    </row>
    <row r="398" spans="9:16" x14ac:dyDescent="0.3">
      <c r="I398" s="89"/>
      <c r="J398" s="15"/>
      <c r="K398" s="29"/>
      <c r="L398" s="89"/>
      <c r="M398" s="58"/>
      <c r="N398" s="44"/>
      <c r="O398" s="44"/>
      <c r="P398" s="65"/>
    </row>
    <row r="399" spans="9:16" x14ac:dyDescent="0.3">
      <c r="I399" s="89"/>
      <c r="J399" s="15"/>
      <c r="K399" s="29"/>
      <c r="L399" s="89"/>
      <c r="M399" s="58"/>
      <c r="N399" s="44"/>
      <c r="O399" s="44"/>
      <c r="P399" s="65"/>
    </row>
    <row r="400" spans="9:16" x14ac:dyDescent="0.3">
      <c r="I400" s="89"/>
      <c r="J400" s="15"/>
      <c r="K400" s="29"/>
      <c r="L400" s="89"/>
      <c r="M400" s="58"/>
      <c r="N400" s="44"/>
      <c r="O400" s="44"/>
      <c r="P400" s="65"/>
    </row>
    <row r="401" spans="9:16" x14ac:dyDescent="0.3">
      <c r="I401" s="89"/>
      <c r="J401" s="15"/>
      <c r="K401" s="29"/>
      <c r="L401" s="89"/>
      <c r="M401" s="58"/>
      <c r="N401" s="44"/>
      <c r="O401" s="44"/>
      <c r="P401" s="65"/>
    </row>
    <row r="402" spans="9:16" x14ac:dyDescent="0.3">
      <c r="I402" s="89"/>
      <c r="J402" s="15"/>
      <c r="K402" s="29"/>
      <c r="L402" s="89"/>
      <c r="M402" s="58"/>
      <c r="N402" s="44"/>
      <c r="O402" s="44"/>
      <c r="P402" s="65"/>
    </row>
    <row r="403" spans="9:16" x14ac:dyDescent="0.3">
      <c r="I403" s="89"/>
      <c r="J403" s="15"/>
      <c r="K403" s="29"/>
      <c r="L403" s="89"/>
      <c r="M403" s="58"/>
      <c r="N403" s="44"/>
      <c r="O403" s="44"/>
      <c r="P403" s="65"/>
    </row>
    <row r="404" spans="9:16" x14ac:dyDescent="0.3">
      <c r="I404" s="89"/>
      <c r="J404" s="15"/>
      <c r="K404" s="29"/>
      <c r="L404" s="89"/>
      <c r="M404" s="58"/>
      <c r="N404" s="44"/>
      <c r="O404" s="44"/>
      <c r="P404" s="44"/>
    </row>
    <row r="405" spans="9:16" x14ac:dyDescent="0.3">
      <c r="I405" s="89"/>
      <c r="J405" s="15"/>
      <c r="K405" s="29"/>
      <c r="L405" s="89"/>
      <c r="M405" s="58"/>
      <c r="N405" s="44"/>
      <c r="O405" s="44"/>
      <c r="P405" s="65"/>
    </row>
    <row r="406" spans="9:16" x14ac:dyDescent="0.3">
      <c r="I406" s="89"/>
      <c r="J406" s="15"/>
      <c r="K406" s="29"/>
      <c r="L406" s="89"/>
      <c r="M406" s="58"/>
      <c r="N406" s="44"/>
      <c r="O406" s="44"/>
      <c r="P406" s="65"/>
    </row>
    <row r="407" spans="9:16" x14ac:dyDescent="0.3">
      <c r="I407" s="89"/>
      <c r="J407" s="15"/>
      <c r="K407" s="29"/>
      <c r="L407" s="89"/>
      <c r="M407" s="58"/>
      <c r="N407" s="44"/>
      <c r="O407" s="44"/>
      <c r="P407" s="65"/>
    </row>
    <row r="408" spans="9:16" x14ac:dyDescent="0.3">
      <c r="I408" s="89"/>
      <c r="J408" s="15"/>
      <c r="K408" s="29"/>
      <c r="L408" s="89"/>
      <c r="M408" s="58"/>
      <c r="N408" s="44"/>
      <c r="O408" s="44"/>
      <c r="P408" s="65"/>
    </row>
    <row r="409" spans="9:16" x14ac:dyDescent="0.3">
      <c r="I409" s="89"/>
      <c r="J409" s="15"/>
      <c r="K409" s="29"/>
      <c r="L409" s="89"/>
      <c r="M409" s="58"/>
      <c r="N409" s="44"/>
      <c r="O409" s="44"/>
      <c r="P409" s="65"/>
    </row>
    <row r="410" spans="9:16" x14ac:dyDescent="0.3">
      <c r="I410" s="89"/>
      <c r="J410" s="15"/>
      <c r="K410" s="29"/>
      <c r="L410" s="89"/>
      <c r="M410" s="58"/>
      <c r="N410" s="44"/>
      <c r="O410" s="44"/>
      <c r="P410" s="65"/>
    </row>
    <row r="411" spans="9:16" x14ac:dyDescent="0.3">
      <c r="I411" s="89"/>
      <c r="J411" s="15"/>
      <c r="K411" s="29"/>
      <c r="L411" s="89"/>
      <c r="M411" s="58"/>
      <c r="N411" s="44"/>
      <c r="O411" s="44"/>
      <c r="P411" s="65"/>
    </row>
    <row r="412" spans="9:16" x14ac:dyDescent="0.3">
      <c r="I412" s="89"/>
      <c r="J412" s="15"/>
      <c r="K412" s="29"/>
      <c r="L412" s="89"/>
      <c r="M412" s="58"/>
      <c r="N412" s="44"/>
      <c r="O412" s="44"/>
      <c r="P412" s="65"/>
    </row>
    <row r="413" spans="9:16" x14ac:dyDescent="0.3">
      <c r="I413" s="89"/>
      <c r="J413" s="15"/>
      <c r="K413" s="29"/>
      <c r="L413" s="89"/>
      <c r="M413" s="58"/>
      <c r="N413" s="44"/>
      <c r="O413" s="44"/>
      <c r="P413" s="65"/>
    </row>
    <row r="414" spans="9:16" x14ac:dyDescent="0.3">
      <c r="I414" s="89"/>
      <c r="J414" s="15"/>
      <c r="K414" s="29"/>
      <c r="L414" s="89"/>
      <c r="M414" s="58"/>
      <c r="N414" s="44"/>
      <c r="O414" s="44"/>
      <c r="P414" s="65"/>
    </row>
    <row r="415" spans="9:16" x14ac:dyDescent="0.3">
      <c r="I415" s="89"/>
      <c r="J415" s="15"/>
      <c r="K415" s="29"/>
      <c r="L415" s="89"/>
      <c r="M415" s="58"/>
      <c r="N415" s="44"/>
      <c r="O415" s="44"/>
      <c r="P415" s="65"/>
    </row>
    <row r="416" spans="9:16" x14ac:dyDescent="0.3">
      <c r="I416" s="89"/>
      <c r="J416" s="15"/>
      <c r="K416" s="29"/>
      <c r="L416" s="89"/>
      <c r="M416" s="58"/>
      <c r="N416" s="44"/>
      <c r="O416" s="44"/>
      <c r="P416" s="65"/>
    </row>
    <row r="417" spans="9:16" x14ac:dyDescent="0.3">
      <c r="I417" s="89"/>
      <c r="J417" s="15"/>
      <c r="K417" s="29"/>
      <c r="L417" s="89"/>
      <c r="M417" s="58"/>
      <c r="N417" s="44"/>
      <c r="O417" s="44"/>
      <c r="P417" s="65"/>
    </row>
    <row r="418" spans="9:16" x14ac:dyDescent="0.3">
      <c r="I418" s="89"/>
      <c r="J418" s="15"/>
      <c r="K418" s="29"/>
      <c r="L418" s="89"/>
      <c r="M418" s="58"/>
      <c r="N418" s="44"/>
      <c r="O418" s="44"/>
      <c r="P418" s="65"/>
    </row>
    <row r="419" spans="9:16" x14ac:dyDescent="0.3">
      <c r="I419" s="89"/>
      <c r="J419" s="15"/>
      <c r="K419" s="29"/>
      <c r="L419" s="89"/>
      <c r="M419" s="58"/>
      <c r="N419" s="44"/>
      <c r="O419" s="44"/>
      <c r="P419" s="65"/>
    </row>
    <row r="420" spans="9:16" x14ac:dyDescent="0.3">
      <c r="I420" s="89"/>
      <c r="J420" s="15"/>
      <c r="K420" s="29"/>
      <c r="L420" s="89"/>
      <c r="M420" s="58"/>
      <c r="N420" s="44"/>
      <c r="O420" s="44"/>
      <c r="P420" s="65"/>
    </row>
    <row r="421" spans="9:16" x14ac:dyDescent="0.3">
      <c r="I421" s="89"/>
      <c r="J421" s="15"/>
      <c r="K421" s="29"/>
      <c r="L421" s="89"/>
      <c r="M421" s="58"/>
      <c r="N421" s="44"/>
      <c r="O421" s="44"/>
      <c r="P421" s="65"/>
    </row>
    <row r="422" spans="9:16" x14ac:dyDescent="0.3">
      <c r="I422" s="89"/>
      <c r="J422" s="15"/>
      <c r="K422" s="29"/>
      <c r="L422" s="89"/>
      <c r="M422" s="58"/>
      <c r="N422" s="44"/>
      <c r="O422" s="44"/>
      <c r="P422" s="65"/>
    </row>
    <row r="423" spans="9:16" x14ac:dyDescent="0.3">
      <c r="I423" s="89"/>
      <c r="J423" s="15"/>
      <c r="K423" s="29"/>
      <c r="L423" s="89"/>
      <c r="M423" s="58"/>
      <c r="N423" s="44"/>
      <c r="O423" s="44"/>
      <c r="P423" s="65"/>
    </row>
    <row r="424" spans="9:16" x14ac:dyDescent="0.3">
      <c r="I424" s="89"/>
      <c r="J424" s="15"/>
      <c r="K424" s="29"/>
      <c r="L424" s="89"/>
      <c r="M424" s="58"/>
      <c r="N424" s="44"/>
      <c r="O424" s="44"/>
      <c r="P424" s="65"/>
    </row>
    <row r="425" spans="9:16" x14ac:dyDescent="0.3">
      <c r="I425" s="89"/>
      <c r="J425" s="15"/>
      <c r="K425" s="29"/>
      <c r="L425" s="89"/>
      <c r="M425" s="58"/>
      <c r="N425" s="44"/>
      <c r="O425" s="44"/>
      <c r="P425" s="65"/>
    </row>
    <row r="426" spans="9:16" x14ac:dyDescent="0.3">
      <c r="I426" s="89"/>
      <c r="J426" s="15"/>
      <c r="K426" s="29"/>
      <c r="L426" s="89"/>
      <c r="M426" s="58"/>
      <c r="N426" s="44"/>
      <c r="O426" s="44"/>
      <c r="P426" s="65"/>
    </row>
    <row r="427" spans="9:16" x14ac:dyDescent="0.3">
      <c r="I427" s="89"/>
      <c r="J427" s="15"/>
      <c r="K427" s="29"/>
      <c r="L427" s="89"/>
      <c r="M427" s="58"/>
      <c r="N427" s="44"/>
      <c r="O427" s="44"/>
      <c r="P427" s="65"/>
    </row>
    <row r="428" spans="9:16" x14ac:dyDescent="0.3">
      <c r="I428" s="89"/>
      <c r="J428" s="15"/>
      <c r="K428" s="29"/>
      <c r="L428" s="89"/>
      <c r="M428" s="58"/>
      <c r="N428" s="44"/>
      <c r="O428" s="44"/>
      <c r="P428" s="65"/>
    </row>
    <row r="429" spans="9:16" x14ac:dyDescent="0.3">
      <c r="I429" s="89"/>
      <c r="J429" s="15"/>
      <c r="K429" s="29"/>
      <c r="L429" s="89"/>
      <c r="M429" s="58"/>
      <c r="N429" s="44"/>
      <c r="O429" s="44"/>
      <c r="P429" s="65"/>
    </row>
    <row r="430" spans="9:16" x14ac:dyDescent="0.3">
      <c r="I430" s="89"/>
      <c r="J430" s="15"/>
      <c r="K430" s="29"/>
      <c r="L430" s="89"/>
      <c r="M430" s="58"/>
      <c r="N430" s="44"/>
      <c r="O430" s="44"/>
      <c r="P430" s="65"/>
    </row>
    <row r="431" spans="9:16" x14ac:dyDescent="0.3">
      <c r="I431" s="89"/>
      <c r="J431" s="15"/>
      <c r="K431" s="29"/>
      <c r="L431" s="89"/>
      <c r="M431" s="58"/>
      <c r="N431" s="44"/>
      <c r="O431" s="44"/>
      <c r="P431" s="65"/>
    </row>
    <row r="432" spans="9:16" x14ac:dyDescent="0.3">
      <c r="I432" s="89"/>
      <c r="J432" s="15"/>
      <c r="K432" s="29"/>
      <c r="L432" s="89"/>
      <c r="M432" s="58"/>
      <c r="N432" s="44"/>
      <c r="O432" s="44"/>
      <c r="P432" s="65"/>
    </row>
    <row r="433" spans="9:16" x14ac:dyDescent="0.3">
      <c r="I433" s="89"/>
      <c r="J433" s="15"/>
      <c r="K433" s="29"/>
      <c r="L433" s="89"/>
      <c r="M433" s="58"/>
      <c r="N433" s="44"/>
      <c r="O433" s="44"/>
      <c r="P433" s="65"/>
    </row>
    <row r="434" spans="9:16" x14ac:dyDescent="0.3">
      <c r="I434" s="89"/>
      <c r="J434" s="15"/>
      <c r="K434" s="29"/>
      <c r="L434" s="89"/>
      <c r="M434" s="58"/>
      <c r="N434" s="44"/>
      <c r="O434" s="44"/>
      <c r="P434" s="65"/>
    </row>
    <row r="435" spans="9:16" x14ac:dyDescent="0.3">
      <c r="I435" s="89"/>
      <c r="J435" s="15"/>
      <c r="K435" s="29"/>
      <c r="L435" s="89"/>
      <c r="M435" s="58"/>
      <c r="N435" s="44"/>
      <c r="O435" s="44"/>
      <c r="P435" s="65"/>
    </row>
    <row r="436" spans="9:16" x14ac:dyDescent="0.3">
      <c r="I436" s="89"/>
      <c r="J436" s="15"/>
      <c r="K436" s="29"/>
      <c r="L436" s="89"/>
      <c r="M436" s="58"/>
      <c r="N436" s="44"/>
      <c r="O436" s="44"/>
      <c r="P436" s="65"/>
    </row>
    <row r="437" spans="9:16" x14ac:dyDescent="0.3">
      <c r="I437" s="89"/>
      <c r="J437" s="15"/>
      <c r="K437" s="29"/>
      <c r="L437" s="89"/>
      <c r="M437" s="58"/>
      <c r="N437" s="44"/>
      <c r="O437" s="44"/>
      <c r="P437" s="65"/>
    </row>
    <row r="438" spans="9:16" x14ac:dyDescent="0.3">
      <c r="I438" s="89"/>
      <c r="J438" s="15"/>
      <c r="K438" s="29"/>
      <c r="L438" s="89"/>
      <c r="M438" s="58"/>
      <c r="N438" s="44"/>
      <c r="O438" s="44"/>
      <c r="P438" s="65"/>
    </row>
    <row r="439" spans="9:16" x14ac:dyDescent="0.3">
      <c r="I439" s="89"/>
      <c r="J439" s="15"/>
      <c r="K439" s="29"/>
      <c r="L439" s="89"/>
      <c r="M439" s="58"/>
      <c r="N439" s="44"/>
      <c r="O439" s="44"/>
      <c r="P439" s="65"/>
    </row>
    <row r="440" spans="9:16" x14ac:dyDescent="0.3">
      <c r="I440" s="89"/>
      <c r="J440" s="15"/>
      <c r="K440" s="29"/>
      <c r="L440" s="89"/>
      <c r="M440" s="58"/>
      <c r="N440" s="44"/>
      <c r="O440" s="44"/>
      <c r="P440" s="65"/>
    </row>
    <row r="441" spans="9:16" x14ac:dyDescent="0.3">
      <c r="I441" s="89"/>
      <c r="J441" s="15"/>
      <c r="K441" s="29"/>
      <c r="L441" s="89"/>
      <c r="M441" s="58"/>
      <c r="N441" s="44"/>
      <c r="O441" s="44"/>
      <c r="P441" s="65"/>
    </row>
    <row r="442" spans="9:16" x14ac:dyDescent="0.3">
      <c r="I442" s="89"/>
      <c r="J442" s="15"/>
      <c r="K442" s="29"/>
      <c r="L442" s="89"/>
      <c r="M442" s="58"/>
      <c r="N442" s="44"/>
      <c r="O442" s="44"/>
      <c r="P442" s="65"/>
    </row>
    <row r="443" spans="9:16" x14ac:dyDescent="0.3">
      <c r="I443" s="89"/>
      <c r="J443" s="15"/>
      <c r="K443" s="29"/>
      <c r="L443" s="89"/>
      <c r="M443" s="58"/>
      <c r="N443" s="44"/>
      <c r="O443" s="44"/>
      <c r="P443" s="65"/>
    </row>
    <row r="444" spans="9:16" x14ac:dyDescent="0.3">
      <c r="I444" s="89"/>
      <c r="J444" s="15"/>
      <c r="K444" s="29"/>
      <c r="L444" s="89"/>
      <c r="M444" s="58"/>
      <c r="N444" s="44"/>
      <c r="O444" s="44"/>
      <c r="P444" s="65"/>
    </row>
    <row r="445" spans="9:16" x14ac:dyDescent="0.3">
      <c r="I445" s="89"/>
      <c r="J445" s="15"/>
      <c r="K445" s="29"/>
      <c r="L445" s="89"/>
      <c r="M445" s="58"/>
      <c r="N445" s="44"/>
      <c r="O445" s="44"/>
      <c r="P445" s="65"/>
    </row>
    <row r="446" spans="9:16" x14ac:dyDescent="0.3">
      <c r="I446" s="89"/>
      <c r="J446" s="15"/>
      <c r="K446" s="29"/>
      <c r="L446" s="89"/>
      <c r="M446" s="58"/>
      <c r="N446" s="44"/>
      <c r="O446" s="44"/>
      <c r="P446" s="65"/>
    </row>
    <row r="447" spans="9:16" x14ac:dyDescent="0.3">
      <c r="I447" s="89"/>
      <c r="J447" s="15"/>
      <c r="K447" s="29"/>
      <c r="L447" s="89"/>
      <c r="M447" s="58"/>
      <c r="N447" s="44"/>
      <c r="O447" s="44"/>
      <c r="P447" s="65"/>
    </row>
    <row r="448" spans="9:16" x14ac:dyDescent="0.3">
      <c r="I448" s="89"/>
      <c r="J448" s="15"/>
      <c r="K448" s="29"/>
      <c r="L448" s="89"/>
      <c r="M448" s="58"/>
      <c r="N448" s="44"/>
      <c r="O448" s="44"/>
      <c r="P448" s="65"/>
    </row>
    <row r="449" spans="9:16" x14ac:dyDescent="0.3">
      <c r="I449" s="89"/>
      <c r="J449" s="15"/>
      <c r="K449" s="29"/>
      <c r="L449" s="89"/>
      <c r="M449" s="58"/>
      <c r="N449" s="44"/>
      <c r="O449" s="44"/>
      <c r="P449" s="65"/>
    </row>
    <row r="450" spans="9:16" x14ac:dyDescent="0.3">
      <c r="I450" s="89"/>
      <c r="J450" s="15"/>
      <c r="K450" s="29"/>
      <c r="L450" s="89"/>
      <c r="M450" s="58"/>
      <c r="N450" s="44"/>
      <c r="O450" s="44"/>
      <c r="P450" s="65"/>
    </row>
    <row r="451" spans="9:16" x14ac:dyDescent="0.3">
      <c r="I451" s="89"/>
      <c r="J451" s="15"/>
      <c r="K451" s="29"/>
      <c r="L451" s="89"/>
      <c r="M451" s="58"/>
      <c r="N451" s="44"/>
      <c r="O451" s="44"/>
      <c r="P451" s="65"/>
    </row>
    <row r="452" spans="9:16" x14ac:dyDescent="0.3">
      <c r="I452" s="89"/>
      <c r="J452" s="15"/>
      <c r="K452" s="29"/>
      <c r="L452" s="89"/>
      <c r="M452" s="58"/>
      <c r="N452" s="44"/>
      <c r="O452" s="44"/>
      <c r="P452" s="65"/>
    </row>
    <row r="453" spans="9:16" x14ac:dyDescent="0.3">
      <c r="I453" s="89"/>
      <c r="J453" s="15"/>
      <c r="K453" s="29"/>
      <c r="L453" s="89"/>
      <c r="M453" s="58"/>
      <c r="N453" s="44"/>
      <c r="O453" s="44"/>
      <c r="P453" s="65"/>
    </row>
    <row r="454" spans="9:16" x14ac:dyDescent="0.3">
      <c r="I454" s="89"/>
      <c r="J454" s="15"/>
      <c r="K454" s="29"/>
      <c r="L454" s="89"/>
      <c r="M454" s="58"/>
      <c r="N454" s="44"/>
      <c r="O454" s="44"/>
      <c r="P454" s="65"/>
    </row>
    <row r="455" spans="9:16" x14ac:dyDescent="0.3">
      <c r="I455" s="89"/>
      <c r="J455" s="15"/>
      <c r="K455" s="29"/>
      <c r="L455" s="89"/>
      <c r="M455" s="58"/>
      <c r="N455" s="44"/>
      <c r="O455" s="44"/>
      <c r="P455" s="65"/>
    </row>
    <row r="456" spans="9:16" x14ac:dyDescent="0.3">
      <c r="I456" s="89"/>
      <c r="J456" s="15"/>
      <c r="K456" s="29"/>
      <c r="L456" s="89"/>
      <c r="M456" s="58"/>
      <c r="N456" s="44"/>
      <c r="O456" s="44"/>
      <c r="P456" s="65"/>
    </row>
    <row r="457" spans="9:16" x14ac:dyDescent="0.3">
      <c r="I457" s="89"/>
      <c r="J457" s="15"/>
      <c r="K457" s="29"/>
      <c r="L457" s="89"/>
      <c r="M457" s="58"/>
      <c r="N457" s="44"/>
      <c r="O457" s="44"/>
      <c r="P457" s="65"/>
    </row>
    <row r="458" spans="9:16" x14ac:dyDescent="0.3">
      <c r="I458" s="89"/>
      <c r="J458" s="15"/>
      <c r="K458" s="29"/>
      <c r="L458" s="89"/>
      <c r="M458" s="58"/>
      <c r="N458" s="44"/>
      <c r="O458" s="44"/>
      <c r="P458" s="65"/>
    </row>
    <row r="459" spans="9:16" x14ac:dyDescent="0.3">
      <c r="I459" s="89"/>
      <c r="J459" s="15"/>
      <c r="K459" s="29"/>
      <c r="L459" s="89"/>
      <c r="M459" s="58"/>
      <c r="N459" s="44"/>
      <c r="O459" s="44"/>
      <c r="P459" s="65"/>
    </row>
    <row r="460" spans="9:16" x14ac:dyDescent="0.3">
      <c r="I460" s="89"/>
      <c r="J460" s="15"/>
      <c r="K460" s="29"/>
      <c r="L460" s="89"/>
      <c r="M460" s="58"/>
      <c r="N460" s="44"/>
      <c r="O460" s="44"/>
      <c r="P460" s="65"/>
    </row>
    <row r="461" spans="9:16" x14ac:dyDescent="0.3">
      <c r="I461" s="89"/>
      <c r="J461" s="15"/>
      <c r="K461" s="29"/>
      <c r="L461" s="89"/>
      <c r="M461" s="58"/>
      <c r="N461" s="44"/>
      <c r="O461" s="44"/>
      <c r="P461" s="65"/>
    </row>
    <row r="462" spans="9:16" x14ac:dyDescent="0.3">
      <c r="I462" s="89"/>
      <c r="J462" s="15"/>
      <c r="K462" s="29"/>
      <c r="L462" s="89"/>
      <c r="M462" s="58"/>
      <c r="N462" s="44"/>
      <c r="O462" s="44"/>
      <c r="P462" s="65"/>
    </row>
    <row r="463" spans="9:16" x14ac:dyDescent="0.3">
      <c r="I463" s="89"/>
      <c r="J463" s="15"/>
      <c r="K463" s="29"/>
      <c r="L463" s="89"/>
      <c r="M463" s="58"/>
      <c r="N463" s="44"/>
      <c r="O463" s="44"/>
      <c r="P463" s="65"/>
    </row>
    <row r="464" spans="9:16" x14ac:dyDescent="0.3">
      <c r="I464" s="89"/>
      <c r="J464" s="15"/>
      <c r="K464" s="29"/>
      <c r="L464" s="89"/>
      <c r="M464" s="58"/>
      <c r="N464" s="44"/>
      <c r="O464" s="44"/>
      <c r="P464" s="65"/>
    </row>
    <row r="465" spans="9:16" x14ac:dyDescent="0.3">
      <c r="I465" s="89"/>
      <c r="J465" s="15"/>
      <c r="K465" s="29"/>
      <c r="L465" s="89"/>
      <c r="M465" s="58"/>
      <c r="N465" s="44"/>
      <c r="O465" s="44"/>
      <c r="P465" s="65"/>
    </row>
    <row r="466" spans="9:16" x14ac:dyDescent="0.3">
      <c r="I466" s="89"/>
      <c r="J466" s="15"/>
      <c r="K466" s="29"/>
      <c r="L466" s="89"/>
      <c r="M466" s="58"/>
      <c r="N466" s="44"/>
      <c r="O466" s="44"/>
      <c r="P466" s="65"/>
    </row>
    <row r="467" spans="9:16" x14ac:dyDescent="0.3">
      <c r="I467" s="89"/>
      <c r="J467" s="15"/>
      <c r="K467" s="29"/>
      <c r="L467" s="89"/>
      <c r="M467" s="58"/>
      <c r="N467" s="44"/>
      <c r="O467" s="44"/>
      <c r="P467" s="65"/>
    </row>
    <row r="468" spans="9:16" x14ac:dyDescent="0.3">
      <c r="I468" s="89"/>
      <c r="J468" s="15"/>
      <c r="K468" s="29"/>
      <c r="L468" s="89"/>
      <c r="M468" s="58"/>
      <c r="N468" s="44"/>
      <c r="O468" s="44"/>
      <c r="P468" s="65"/>
    </row>
    <row r="469" spans="9:16" x14ac:dyDescent="0.3">
      <c r="I469" s="89"/>
      <c r="J469" s="15"/>
      <c r="K469" s="29"/>
      <c r="L469" s="89"/>
      <c r="M469" s="58"/>
      <c r="N469" s="44"/>
      <c r="O469" s="44"/>
      <c r="P469" s="65"/>
    </row>
    <row r="470" spans="9:16" x14ac:dyDescent="0.3">
      <c r="I470" s="89"/>
      <c r="J470" s="15"/>
      <c r="K470" s="29"/>
      <c r="L470" s="89"/>
      <c r="M470" s="58"/>
      <c r="N470" s="44"/>
      <c r="O470" s="44"/>
      <c r="P470" s="65"/>
    </row>
    <row r="471" spans="9:16" x14ac:dyDescent="0.3">
      <c r="I471" s="89"/>
      <c r="J471" s="15"/>
      <c r="K471" s="29"/>
      <c r="L471" s="89"/>
      <c r="M471" s="58"/>
      <c r="N471" s="44"/>
      <c r="O471" s="44"/>
      <c r="P471" s="65"/>
    </row>
    <row r="472" spans="9:16" x14ac:dyDescent="0.3">
      <c r="I472" s="89"/>
      <c r="J472" s="15"/>
      <c r="K472" s="29"/>
      <c r="L472" s="89"/>
      <c r="M472" s="58"/>
      <c r="N472" s="44"/>
      <c r="O472" s="44"/>
      <c r="P472" s="65"/>
    </row>
    <row r="473" spans="9:16" x14ac:dyDescent="0.3">
      <c r="I473" s="89"/>
      <c r="J473" s="15"/>
      <c r="K473" s="29"/>
      <c r="L473" s="89"/>
      <c r="M473" s="58"/>
      <c r="N473" s="44"/>
      <c r="O473" s="44"/>
      <c r="P473" s="65"/>
    </row>
    <row r="474" spans="9:16" x14ac:dyDescent="0.3">
      <c r="I474" s="89"/>
      <c r="J474" s="15"/>
      <c r="K474" s="29"/>
      <c r="L474" s="89"/>
      <c r="M474" s="58"/>
      <c r="N474" s="44"/>
      <c r="O474" s="44"/>
      <c r="P474" s="65"/>
    </row>
    <row r="475" spans="9:16" x14ac:dyDescent="0.3">
      <c r="I475" s="89"/>
      <c r="J475" s="15"/>
      <c r="K475" s="29"/>
      <c r="L475" s="89"/>
      <c r="M475" s="58"/>
      <c r="N475" s="44"/>
      <c r="O475" s="44"/>
      <c r="P475" s="65"/>
    </row>
    <row r="476" spans="9:16" x14ac:dyDescent="0.3">
      <c r="I476" s="89"/>
      <c r="J476" s="15"/>
      <c r="K476" s="29"/>
      <c r="L476" s="89"/>
      <c r="M476" s="58"/>
      <c r="N476" s="44"/>
      <c r="O476" s="44"/>
      <c r="P476" s="65"/>
    </row>
    <row r="477" spans="9:16" x14ac:dyDescent="0.3">
      <c r="I477" s="89"/>
      <c r="J477" s="15"/>
      <c r="K477" s="29"/>
      <c r="L477" s="89"/>
      <c r="M477" s="58"/>
      <c r="N477" s="44"/>
      <c r="O477" s="44"/>
      <c r="P477" s="65"/>
    </row>
    <row r="478" spans="9:16" x14ac:dyDescent="0.3">
      <c r="I478" s="89"/>
      <c r="J478" s="15"/>
      <c r="K478" s="29"/>
      <c r="L478" s="89"/>
      <c r="M478" s="58"/>
      <c r="N478" s="44"/>
      <c r="O478" s="44"/>
      <c r="P478" s="65"/>
    </row>
    <row r="479" spans="9:16" x14ac:dyDescent="0.3">
      <c r="I479" s="89"/>
      <c r="J479" s="15"/>
      <c r="K479" s="29"/>
      <c r="L479" s="89"/>
      <c r="M479" s="58"/>
      <c r="N479" s="44"/>
      <c r="O479" s="44"/>
      <c r="P479" s="65"/>
    </row>
    <row r="480" spans="9:16" x14ac:dyDescent="0.3">
      <c r="I480" s="89"/>
      <c r="J480" s="15"/>
      <c r="K480" s="29"/>
      <c r="L480" s="89"/>
      <c r="M480" s="58"/>
      <c r="N480" s="44"/>
      <c r="O480" s="44"/>
      <c r="P480" s="65"/>
    </row>
    <row r="481" spans="9:16" x14ac:dyDescent="0.3">
      <c r="I481" s="89"/>
      <c r="J481" s="15"/>
      <c r="K481" s="29"/>
      <c r="L481" s="89"/>
      <c r="M481" s="58"/>
      <c r="N481" s="44"/>
      <c r="O481" s="44"/>
      <c r="P481" s="65"/>
    </row>
    <row r="482" spans="9:16" x14ac:dyDescent="0.3">
      <c r="I482" s="89"/>
      <c r="J482" s="15"/>
      <c r="K482" s="29"/>
      <c r="L482" s="89"/>
      <c r="M482" s="58"/>
      <c r="N482" s="44"/>
      <c r="O482" s="44"/>
      <c r="P482" s="65"/>
    </row>
    <row r="483" spans="9:16" x14ac:dyDescent="0.3">
      <c r="I483" s="89"/>
      <c r="J483" s="15"/>
      <c r="K483" s="29"/>
      <c r="L483" s="89"/>
      <c r="M483" s="58"/>
      <c r="N483" s="44"/>
      <c r="O483" s="44"/>
      <c r="P483" s="65"/>
    </row>
    <row r="484" spans="9:16" x14ac:dyDescent="0.3">
      <c r="I484" s="89"/>
      <c r="J484" s="15"/>
      <c r="K484" s="29"/>
      <c r="L484" s="89"/>
      <c r="M484" s="58"/>
      <c r="N484" s="44"/>
      <c r="O484" s="44"/>
      <c r="P484" s="65"/>
    </row>
    <row r="485" spans="9:16" x14ac:dyDescent="0.3">
      <c r="I485" s="89"/>
      <c r="J485" s="15"/>
      <c r="K485" s="29"/>
      <c r="L485" s="89"/>
      <c r="M485" s="58"/>
      <c r="N485" s="44"/>
      <c r="O485" s="44"/>
      <c r="P485" s="65"/>
    </row>
    <row r="486" spans="9:16" x14ac:dyDescent="0.3">
      <c r="I486" s="89"/>
      <c r="J486" s="15"/>
      <c r="K486" s="29"/>
      <c r="L486" s="89"/>
      <c r="M486" s="58"/>
      <c r="N486" s="44"/>
      <c r="O486" s="44"/>
      <c r="P486" s="65"/>
    </row>
    <row r="487" spans="9:16" x14ac:dyDescent="0.3">
      <c r="I487" s="89"/>
      <c r="J487" s="15"/>
      <c r="K487" s="29"/>
      <c r="L487" s="89"/>
      <c r="M487" s="58"/>
      <c r="N487" s="44"/>
      <c r="O487" s="44"/>
      <c r="P487" s="65"/>
    </row>
    <row r="488" spans="9:16" x14ac:dyDescent="0.3">
      <c r="I488" s="89"/>
      <c r="J488" s="15"/>
      <c r="K488" s="29"/>
      <c r="L488" s="89"/>
      <c r="M488" s="58"/>
      <c r="N488" s="44"/>
      <c r="O488" s="44"/>
      <c r="P488" s="65"/>
    </row>
    <row r="489" spans="9:16" x14ac:dyDescent="0.3">
      <c r="I489" s="89"/>
      <c r="J489" s="15"/>
      <c r="K489" s="29"/>
      <c r="L489" s="89"/>
      <c r="M489" s="58"/>
      <c r="N489" s="44"/>
      <c r="O489" s="44"/>
      <c r="P489" s="65"/>
    </row>
    <row r="490" spans="9:16" x14ac:dyDescent="0.3">
      <c r="I490" s="89"/>
      <c r="J490" s="15"/>
      <c r="K490" s="29"/>
      <c r="L490" s="89"/>
      <c r="M490" s="58"/>
      <c r="N490" s="44"/>
      <c r="O490" s="44"/>
      <c r="P490" s="65"/>
    </row>
    <row r="491" spans="9:16" x14ac:dyDescent="0.3">
      <c r="I491" s="89"/>
      <c r="J491" s="15"/>
      <c r="K491" s="29"/>
      <c r="L491" s="89"/>
      <c r="M491" s="58"/>
      <c r="N491" s="44"/>
      <c r="O491" s="44"/>
      <c r="P491" s="65"/>
    </row>
    <row r="492" spans="9:16" x14ac:dyDescent="0.3">
      <c r="I492" s="89"/>
      <c r="J492" s="15"/>
      <c r="K492" s="29"/>
      <c r="L492" s="89"/>
      <c r="M492" s="58"/>
      <c r="N492" s="44"/>
      <c r="O492" s="44"/>
      <c r="P492" s="65"/>
    </row>
    <row r="493" spans="9:16" x14ac:dyDescent="0.3">
      <c r="I493" s="89"/>
      <c r="J493" s="15"/>
      <c r="K493" s="29"/>
      <c r="L493" s="89"/>
      <c r="M493" s="58"/>
      <c r="N493" s="44"/>
      <c r="O493" s="44"/>
      <c r="P493" s="65"/>
    </row>
    <row r="494" spans="9:16" x14ac:dyDescent="0.3">
      <c r="I494" s="89"/>
      <c r="J494" s="15"/>
      <c r="K494" s="29"/>
      <c r="L494" s="89"/>
      <c r="M494" s="58"/>
      <c r="N494" s="44"/>
      <c r="O494" s="44"/>
      <c r="P494" s="65"/>
    </row>
    <row r="495" spans="9:16" x14ac:dyDescent="0.3">
      <c r="I495" s="89"/>
      <c r="J495" s="15"/>
      <c r="K495" s="29"/>
      <c r="L495" s="89"/>
      <c r="M495" s="58"/>
      <c r="N495" s="44"/>
      <c r="O495" s="44"/>
      <c r="P495" s="65"/>
    </row>
    <row r="496" spans="9:16" x14ac:dyDescent="0.3">
      <c r="I496" s="89"/>
      <c r="J496" s="15"/>
      <c r="K496" s="29"/>
      <c r="L496" s="89"/>
      <c r="M496" s="58"/>
      <c r="N496" s="44"/>
      <c r="O496" s="44"/>
      <c r="P496" s="65"/>
    </row>
    <row r="497" spans="9:16" x14ac:dyDescent="0.3">
      <c r="I497" s="89"/>
      <c r="J497" s="15"/>
      <c r="K497" s="29"/>
      <c r="L497" s="89"/>
      <c r="M497" s="58"/>
      <c r="N497" s="44"/>
      <c r="O497" s="44"/>
      <c r="P497" s="65"/>
    </row>
    <row r="498" spans="9:16" x14ac:dyDescent="0.3">
      <c r="I498" s="89"/>
      <c r="J498" s="15"/>
      <c r="K498" s="29"/>
      <c r="L498" s="89"/>
      <c r="M498" s="58"/>
      <c r="N498" s="44"/>
      <c r="O498" s="44"/>
      <c r="P498" s="65"/>
    </row>
    <row r="499" spans="9:16" x14ac:dyDescent="0.3">
      <c r="I499" s="89"/>
      <c r="J499" s="15"/>
      <c r="K499" s="29"/>
      <c r="L499" s="89"/>
      <c r="M499" s="58"/>
      <c r="N499" s="44"/>
      <c r="O499" s="44"/>
      <c r="P499" s="65"/>
    </row>
    <row r="500" spans="9:16" x14ac:dyDescent="0.3">
      <c r="I500" s="89"/>
      <c r="J500" s="15"/>
      <c r="K500" s="29"/>
      <c r="L500" s="89"/>
      <c r="M500" s="58"/>
      <c r="N500" s="44"/>
      <c r="O500" s="44"/>
      <c r="P500" s="65"/>
    </row>
    <row r="501" spans="9:16" x14ac:dyDescent="0.3">
      <c r="I501" s="89"/>
      <c r="J501" s="15"/>
      <c r="K501" s="29"/>
      <c r="L501" s="89"/>
      <c r="M501" s="58"/>
      <c r="N501" s="44"/>
      <c r="O501" s="44"/>
      <c r="P501" s="65"/>
    </row>
    <row r="502" spans="9:16" x14ac:dyDescent="0.3">
      <c r="I502" s="89"/>
      <c r="J502" s="15"/>
      <c r="K502" s="29"/>
      <c r="L502" s="89"/>
      <c r="M502" s="58"/>
      <c r="N502" s="44"/>
      <c r="O502" s="44"/>
      <c r="P502" s="65"/>
    </row>
    <row r="503" spans="9:16" x14ac:dyDescent="0.3">
      <c r="I503" s="89"/>
      <c r="J503" s="15"/>
      <c r="K503" s="29"/>
      <c r="L503" s="89"/>
      <c r="M503" s="58"/>
      <c r="N503" s="44"/>
      <c r="O503" s="44"/>
      <c r="P503" s="65"/>
    </row>
    <row r="504" spans="9:16" x14ac:dyDescent="0.3">
      <c r="I504" s="89"/>
      <c r="J504" s="15"/>
      <c r="K504" s="29"/>
      <c r="L504" s="89"/>
      <c r="M504" s="58"/>
      <c r="N504" s="44"/>
      <c r="O504" s="44"/>
      <c r="P504" s="65"/>
    </row>
    <row r="505" spans="9:16" x14ac:dyDescent="0.3">
      <c r="I505" s="89"/>
      <c r="J505" s="15"/>
      <c r="K505" s="29"/>
      <c r="L505" s="89"/>
      <c r="M505" s="58"/>
      <c r="N505" s="44"/>
      <c r="O505" s="44"/>
      <c r="P505" s="65"/>
    </row>
    <row r="506" spans="9:16" x14ac:dyDescent="0.3">
      <c r="I506" s="89"/>
      <c r="J506" s="15"/>
      <c r="K506" s="29"/>
      <c r="L506" s="89"/>
      <c r="M506" s="58"/>
      <c r="N506" s="44"/>
      <c r="O506" s="44"/>
      <c r="P506" s="65"/>
    </row>
    <row r="507" spans="9:16" x14ac:dyDescent="0.3">
      <c r="I507" s="89"/>
      <c r="J507" s="15"/>
      <c r="K507" s="29"/>
      <c r="L507" s="89"/>
      <c r="M507" s="58"/>
      <c r="N507" s="44"/>
      <c r="O507" s="44"/>
      <c r="P507" s="65"/>
    </row>
    <row r="508" spans="9:16" x14ac:dyDescent="0.3">
      <c r="I508" s="89"/>
      <c r="J508" s="15"/>
      <c r="K508" s="29"/>
      <c r="L508" s="89"/>
      <c r="M508" s="58"/>
      <c r="N508" s="44"/>
      <c r="O508" s="44"/>
      <c r="P508" s="65"/>
    </row>
    <row r="509" spans="9:16" x14ac:dyDescent="0.3">
      <c r="I509" s="89"/>
      <c r="J509" s="15"/>
      <c r="K509" s="29"/>
      <c r="L509" s="89"/>
      <c r="M509" s="58"/>
      <c r="N509" s="44"/>
      <c r="O509" s="44"/>
      <c r="P509" s="44"/>
    </row>
    <row r="510" spans="9:16" x14ac:dyDescent="0.3">
      <c r="I510" s="89"/>
      <c r="J510" s="15"/>
      <c r="K510" s="29"/>
      <c r="L510" s="89"/>
      <c r="M510" s="58"/>
      <c r="N510" s="44"/>
      <c r="O510" s="44"/>
      <c r="P510" s="65"/>
    </row>
    <row r="511" spans="9:16" x14ac:dyDescent="0.3">
      <c r="I511" s="89"/>
      <c r="J511" s="15"/>
      <c r="K511" s="29"/>
      <c r="L511" s="89"/>
      <c r="M511" s="58"/>
      <c r="N511" s="44"/>
      <c r="O511" s="44"/>
      <c r="P511" s="65"/>
    </row>
    <row r="512" spans="9:16" x14ac:dyDescent="0.3">
      <c r="I512" s="89"/>
      <c r="J512" s="15"/>
      <c r="K512" s="29"/>
      <c r="L512" s="89"/>
      <c r="M512" s="58"/>
      <c r="N512" s="44"/>
      <c r="O512" s="44"/>
      <c r="P512" s="65"/>
    </row>
    <row r="513" spans="9:16" x14ac:dyDescent="0.3">
      <c r="I513" s="89"/>
      <c r="J513" s="15"/>
      <c r="K513" s="29"/>
      <c r="L513" s="89"/>
      <c r="M513" s="58"/>
      <c r="N513" s="44"/>
      <c r="O513" s="44"/>
      <c r="P513" s="65"/>
    </row>
    <row r="514" spans="9:16" x14ac:dyDescent="0.3">
      <c r="I514" s="89"/>
      <c r="J514" s="15"/>
      <c r="K514" s="29"/>
      <c r="L514" s="89"/>
      <c r="M514" s="58"/>
      <c r="N514" s="44"/>
      <c r="O514" s="44"/>
      <c r="P514" s="65"/>
    </row>
    <row r="515" spans="9:16" x14ac:dyDescent="0.3">
      <c r="I515" s="89"/>
      <c r="J515" s="15"/>
      <c r="K515" s="29"/>
      <c r="L515" s="89"/>
      <c r="M515" s="58"/>
      <c r="N515" s="44"/>
      <c r="O515" s="44"/>
      <c r="P515" s="65"/>
    </row>
    <row r="516" spans="9:16" x14ac:dyDescent="0.3">
      <c r="I516" s="89"/>
      <c r="J516" s="15"/>
      <c r="K516" s="29"/>
      <c r="L516" s="89"/>
      <c r="M516" s="58"/>
      <c r="N516" s="44"/>
      <c r="O516" s="44"/>
      <c r="P516" s="65"/>
    </row>
    <row r="517" spans="9:16" x14ac:dyDescent="0.3">
      <c r="I517" s="89"/>
      <c r="J517" s="15"/>
      <c r="K517" s="29"/>
      <c r="L517" s="89"/>
      <c r="M517" s="58"/>
      <c r="N517" s="44"/>
      <c r="O517" s="44"/>
      <c r="P517" s="65"/>
    </row>
    <row r="518" spans="9:16" x14ac:dyDescent="0.3">
      <c r="I518" s="89"/>
      <c r="J518" s="15"/>
      <c r="K518" s="29"/>
      <c r="L518" s="89"/>
      <c r="M518" s="58"/>
      <c r="N518" s="44"/>
      <c r="O518" s="44"/>
      <c r="P518" s="65"/>
    </row>
    <row r="519" spans="9:16" x14ac:dyDescent="0.3">
      <c r="I519" s="89"/>
      <c r="J519" s="15"/>
      <c r="K519" s="29"/>
      <c r="L519" s="89"/>
      <c r="M519" s="58"/>
      <c r="N519" s="44"/>
      <c r="O519" s="44"/>
      <c r="P519" s="65"/>
    </row>
    <row r="520" spans="9:16" x14ac:dyDescent="0.3">
      <c r="I520" s="89"/>
      <c r="J520" s="15"/>
      <c r="K520" s="29"/>
      <c r="L520" s="89"/>
      <c r="M520" s="58"/>
      <c r="N520" s="44"/>
      <c r="O520" s="44"/>
      <c r="P520" s="65"/>
    </row>
    <row r="521" spans="9:16" x14ac:dyDescent="0.3">
      <c r="I521" s="89"/>
      <c r="J521" s="15"/>
      <c r="K521" s="29"/>
      <c r="L521" s="89"/>
      <c r="M521" s="58"/>
      <c r="N521" s="44"/>
      <c r="O521" s="44"/>
      <c r="P521" s="65"/>
    </row>
    <row r="522" spans="9:16" x14ac:dyDescent="0.3">
      <c r="I522" s="89"/>
      <c r="J522" s="15"/>
      <c r="K522" s="29"/>
      <c r="L522" s="89"/>
      <c r="M522" s="58"/>
      <c r="N522" s="44"/>
      <c r="O522" s="44"/>
      <c r="P522" s="65"/>
    </row>
    <row r="523" spans="9:16" x14ac:dyDescent="0.3">
      <c r="I523" s="89"/>
      <c r="J523" s="15"/>
      <c r="K523" s="29"/>
      <c r="L523" s="89"/>
      <c r="M523" s="58"/>
      <c r="N523" s="44"/>
      <c r="O523" s="44"/>
      <c r="P523" s="65"/>
    </row>
    <row r="524" spans="9:16" x14ac:dyDescent="0.3">
      <c r="I524" s="89"/>
      <c r="J524" s="15"/>
      <c r="K524" s="29"/>
      <c r="L524" s="89"/>
      <c r="M524" s="58"/>
      <c r="N524" s="44"/>
      <c r="O524" s="44"/>
      <c r="P524" s="65"/>
    </row>
    <row r="525" spans="9:16" x14ac:dyDescent="0.3">
      <c r="I525" s="89"/>
      <c r="J525" s="15"/>
      <c r="K525" s="29"/>
      <c r="L525" s="89"/>
      <c r="M525" s="58"/>
      <c r="N525" s="44"/>
      <c r="O525" s="44"/>
      <c r="P525" s="65"/>
    </row>
    <row r="526" spans="9:16" x14ac:dyDescent="0.3">
      <c r="I526" s="89"/>
      <c r="J526" s="15"/>
      <c r="K526" s="29"/>
      <c r="L526" s="89"/>
      <c r="M526" s="58"/>
      <c r="N526" s="44"/>
      <c r="O526" s="44"/>
      <c r="P526" s="65"/>
    </row>
    <row r="527" spans="9:16" x14ac:dyDescent="0.3">
      <c r="I527" s="89"/>
      <c r="J527" s="15"/>
      <c r="K527" s="29"/>
      <c r="L527" s="89"/>
      <c r="M527" s="58"/>
      <c r="N527" s="44"/>
      <c r="O527" s="44"/>
      <c r="P527" s="65"/>
    </row>
    <row r="528" spans="9:16" x14ac:dyDescent="0.3">
      <c r="I528" s="89"/>
      <c r="J528" s="15"/>
      <c r="K528" s="29"/>
      <c r="L528" s="89"/>
      <c r="M528" s="58"/>
      <c r="N528" s="44"/>
      <c r="O528" s="44"/>
      <c r="P528" s="65"/>
    </row>
    <row r="529" spans="9:16" x14ac:dyDescent="0.3">
      <c r="I529" s="89"/>
      <c r="J529" s="15"/>
      <c r="K529" s="29"/>
      <c r="L529" s="89"/>
      <c r="M529" s="58"/>
      <c r="N529" s="44"/>
      <c r="O529" s="44"/>
      <c r="P529" s="65"/>
    </row>
    <row r="530" spans="9:16" x14ac:dyDescent="0.3">
      <c r="I530" s="89"/>
      <c r="J530" s="15"/>
      <c r="K530" s="29"/>
      <c r="L530" s="89"/>
      <c r="M530" s="58"/>
      <c r="N530" s="44"/>
      <c r="O530" s="44"/>
      <c r="P530" s="65"/>
    </row>
    <row r="531" spans="9:16" x14ac:dyDescent="0.3">
      <c r="I531" s="89"/>
      <c r="J531" s="15"/>
      <c r="K531" s="29"/>
      <c r="L531" s="89"/>
      <c r="M531" s="58"/>
      <c r="N531" s="44"/>
      <c r="O531" s="44"/>
      <c r="P531" s="65"/>
    </row>
    <row r="532" spans="9:16" x14ac:dyDescent="0.3">
      <c r="I532" s="89"/>
      <c r="J532" s="15"/>
      <c r="K532" s="29"/>
      <c r="L532" s="89"/>
      <c r="M532" s="58"/>
      <c r="N532" s="44"/>
      <c r="O532" s="44"/>
      <c r="P532" s="65"/>
    </row>
    <row r="533" spans="9:16" x14ac:dyDescent="0.3">
      <c r="I533" s="89"/>
      <c r="J533" s="15"/>
      <c r="K533" s="29"/>
      <c r="L533" s="89"/>
      <c r="M533" s="58"/>
      <c r="N533" s="44"/>
      <c r="O533" s="44"/>
      <c r="P533" s="65"/>
    </row>
    <row r="534" spans="9:16" x14ac:dyDescent="0.3">
      <c r="I534" s="89"/>
      <c r="J534" s="15"/>
      <c r="K534" s="29"/>
      <c r="L534" s="89"/>
      <c r="M534" s="58"/>
      <c r="N534" s="44"/>
      <c r="O534" s="44"/>
      <c r="P534" s="65"/>
    </row>
    <row r="535" spans="9:16" x14ac:dyDescent="0.3">
      <c r="I535" s="89"/>
      <c r="J535" s="15"/>
      <c r="K535" s="29"/>
      <c r="L535" s="89"/>
      <c r="M535" s="58"/>
      <c r="N535" s="44"/>
      <c r="O535" s="44"/>
      <c r="P535" s="65"/>
    </row>
    <row r="536" spans="9:16" x14ac:dyDescent="0.3">
      <c r="I536" s="89"/>
      <c r="J536" s="15"/>
      <c r="K536" s="29"/>
      <c r="L536" s="89"/>
      <c r="M536" s="58"/>
      <c r="N536" s="44"/>
      <c r="O536" s="44"/>
      <c r="P536" s="65"/>
    </row>
    <row r="537" spans="9:16" x14ac:dyDescent="0.3">
      <c r="I537" s="89"/>
      <c r="J537" s="15"/>
      <c r="K537" s="29"/>
      <c r="L537" s="89"/>
      <c r="M537" s="58"/>
      <c r="N537" s="44"/>
      <c r="O537" s="44"/>
      <c r="P537" s="65"/>
    </row>
    <row r="538" spans="9:16" x14ac:dyDescent="0.3">
      <c r="I538" s="89"/>
      <c r="J538" s="15"/>
      <c r="K538" s="29"/>
      <c r="L538" s="89"/>
      <c r="M538" s="58"/>
      <c r="N538" s="44"/>
      <c r="O538" s="44"/>
      <c r="P538" s="65"/>
    </row>
    <row r="539" spans="9:16" x14ac:dyDescent="0.3">
      <c r="I539" s="89"/>
      <c r="J539" s="15"/>
      <c r="K539" s="29"/>
      <c r="L539" s="89"/>
      <c r="M539" s="58"/>
      <c r="N539" s="44"/>
      <c r="O539" s="44"/>
      <c r="P539" s="65"/>
    </row>
    <row r="540" spans="9:16" x14ac:dyDescent="0.3">
      <c r="I540" s="89"/>
      <c r="J540" s="15"/>
      <c r="K540" s="29"/>
      <c r="L540" s="89"/>
      <c r="M540" s="58"/>
      <c r="N540" s="44"/>
      <c r="O540" s="44"/>
      <c r="P540" s="65"/>
    </row>
    <row r="541" spans="9:16" x14ac:dyDescent="0.3">
      <c r="I541" s="89"/>
      <c r="J541" s="15"/>
      <c r="K541" s="29"/>
      <c r="L541" s="89"/>
      <c r="M541" s="58"/>
      <c r="N541" s="44"/>
      <c r="O541" s="44"/>
      <c r="P541" s="65"/>
    </row>
    <row r="542" spans="9:16" x14ac:dyDescent="0.3">
      <c r="I542" s="89"/>
      <c r="J542" s="15"/>
      <c r="K542" s="29"/>
      <c r="L542" s="89"/>
      <c r="M542" s="58"/>
      <c r="N542" s="44"/>
      <c r="O542" s="44"/>
      <c r="P542" s="65"/>
    </row>
    <row r="543" spans="9:16" x14ac:dyDescent="0.3">
      <c r="I543" s="89"/>
      <c r="J543" s="15"/>
      <c r="K543" s="29"/>
      <c r="L543" s="89"/>
      <c r="M543" s="58"/>
      <c r="N543" s="44"/>
      <c r="O543" s="44"/>
      <c r="P543" s="65"/>
    </row>
    <row r="544" spans="9:16" x14ac:dyDescent="0.3">
      <c r="I544" s="89"/>
      <c r="J544" s="15"/>
      <c r="K544" s="29"/>
      <c r="L544" s="89"/>
      <c r="M544" s="58"/>
      <c r="N544" s="44"/>
      <c r="O544" s="44"/>
      <c r="P544" s="65"/>
    </row>
    <row r="545" spans="9:16" x14ac:dyDescent="0.3">
      <c r="I545" s="89"/>
      <c r="J545" s="15"/>
      <c r="K545" s="29"/>
      <c r="L545" s="89"/>
      <c r="M545" s="58"/>
      <c r="N545" s="44"/>
      <c r="O545" s="44"/>
      <c r="P545" s="65"/>
    </row>
    <row r="546" spans="9:16" x14ac:dyDescent="0.3">
      <c r="I546" s="89"/>
      <c r="J546" s="15"/>
      <c r="K546" s="29"/>
      <c r="L546" s="89"/>
      <c r="M546" s="58"/>
      <c r="N546" s="44"/>
      <c r="O546" s="44"/>
      <c r="P546" s="65"/>
    </row>
    <row r="547" spans="9:16" x14ac:dyDescent="0.3">
      <c r="I547" s="89"/>
      <c r="J547" s="15"/>
      <c r="K547" s="29"/>
      <c r="L547" s="89"/>
      <c r="M547" s="58"/>
      <c r="N547" s="44"/>
      <c r="O547" s="44"/>
      <c r="P547" s="65"/>
    </row>
    <row r="548" spans="9:16" x14ac:dyDescent="0.3">
      <c r="I548" s="89"/>
      <c r="J548" s="15"/>
      <c r="K548" s="29"/>
      <c r="L548" s="89"/>
      <c r="M548" s="58"/>
      <c r="N548" s="44"/>
      <c r="O548" s="44"/>
      <c r="P548" s="65"/>
    </row>
    <row r="549" spans="9:16" x14ac:dyDescent="0.3">
      <c r="I549" s="89"/>
      <c r="J549" s="15"/>
      <c r="K549" s="29"/>
      <c r="L549" s="89"/>
      <c r="M549" s="58"/>
      <c r="N549" s="44"/>
      <c r="O549" s="44"/>
      <c r="P549" s="65"/>
    </row>
    <row r="550" spans="9:16" x14ac:dyDescent="0.3">
      <c r="I550" s="89"/>
      <c r="J550" s="15"/>
      <c r="K550" s="29"/>
      <c r="L550" s="89"/>
      <c r="M550" s="58"/>
      <c r="N550" s="44"/>
      <c r="O550" s="44"/>
      <c r="P550" s="65"/>
    </row>
    <row r="551" spans="9:16" x14ac:dyDescent="0.3">
      <c r="I551" s="89"/>
      <c r="J551" s="15"/>
      <c r="K551" s="29"/>
      <c r="L551" s="89"/>
      <c r="M551" s="58"/>
      <c r="N551" s="44"/>
      <c r="O551" s="44"/>
      <c r="P551" s="65"/>
    </row>
    <row r="552" spans="9:16" x14ac:dyDescent="0.3">
      <c r="I552" s="89"/>
      <c r="J552" s="15"/>
      <c r="K552" s="29"/>
      <c r="L552" s="89"/>
      <c r="M552" s="58"/>
      <c r="N552" s="44"/>
      <c r="O552" s="44"/>
      <c r="P552" s="65"/>
    </row>
    <row r="553" spans="9:16" x14ac:dyDescent="0.3">
      <c r="I553" s="89"/>
      <c r="J553" s="15"/>
      <c r="K553" s="29"/>
      <c r="L553" s="89"/>
      <c r="M553" s="58"/>
      <c r="N553" s="44"/>
      <c r="O553" s="44"/>
      <c r="P553" s="65"/>
    </row>
    <row r="554" spans="9:16" x14ac:dyDescent="0.3">
      <c r="I554" s="89"/>
      <c r="J554" s="15"/>
      <c r="K554" s="29"/>
      <c r="L554" s="89"/>
      <c r="M554" s="58"/>
      <c r="N554" s="44"/>
      <c r="O554" s="44"/>
      <c r="P554" s="65"/>
    </row>
    <row r="555" spans="9:16" x14ac:dyDescent="0.3">
      <c r="I555" s="89"/>
      <c r="J555" s="15"/>
      <c r="K555" s="29"/>
      <c r="L555" s="89"/>
      <c r="M555" s="58"/>
      <c r="N555" s="44"/>
      <c r="O555" s="44"/>
      <c r="P555" s="65"/>
    </row>
    <row r="556" spans="9:16" x14ac:dyDescent="0.3">
      <c r="I556" s="89"/>
      <c r="J556" s="15"/>
      <c r="K556" s="29"/>
      <c r="L556" s="89"/>
      <c r="M556" s="58"/>
      <c r="N556" s="44"/>
      <c r="O556" s="44"/>
      <c r="P556" s="65"/>
    </row>
    <row r="557" spans="9:16" x14ac:dyDescent="0.3">
      <c r="I557" s="89"/>
      <c r="J557" s="15"/>
      <c r="K557" s="29"/>
      <c r="L557" s="89"/>
      <c r="M557" s="58"/>
      <c r="N557" s="44"/>
      <c r="O557" s="44"/>
      <c r="P557" s="65"/>
    </row>
    <row r="558" spans="9:16" x14ac:dyDescent="0.3">
      <c r="I558" s="89"/>
      <c r="J558" s="15"/>
      <c r="K558" s="29"/>
      <c r="L558" s="89"/>
      <c r="M558" s="58"/>
      <c r="N558" s="44"/>
      <c r="O558" s="44"/>
      <c r="P558" s="65"/>
    </row>
    <row r="559" spans="9:16" x14ac:dyDescent="0.3">
      <c r="I559" s="89"/>
      <c r="J559" s="15"/>
      <c r="K559" s="29"/>
      <c r="L559" s="89"/>
      <c r="M559" s="58"/>
      <c r="N559" s="44"/>
      <c r="O559" s="44"/>
      <c r="P559" s="65"/>
    </row>
    <row r="560" spans="9:16" x14ac:dyDescent="0.3">
      <c r="I560" s="89"/>
      <c r="J560" s="15"/>
      <c r="K560" s="29"/>
      <c r="L560" s="89"/>
      <c r="M560" s="58"/>
      <c r="N560" s="44"/>
      <c r="O560" s="44"/>
      <c r="P560" s="65"/>
    </row>
    <row r="561" spans="9:16" x14ac:dyDescent="0.3">
      <c r="I561" s="89"/>
      <c r="J561" s="15"/>
      <c r="K561" s="29"/>
      <c r="L561" s="89"/>
      <c r="M561" s="58"/>
      <c r="N561" s="44"/>
      <c r="O561" s="44"/>
      <c r="P561" s="65"/>
    </row>
    <row r="562" spans="9:16" x14ac:dyDescent="0.3">
      <c r="I562" s="89"/>
      <c r="J562" s="15"/>
      <c r="K562" s="29"/>
      <c r="L562" s="89"/>
      <c r="M562" s="58"/>
      <c r="N562" s="44"/>
      <c r="O562" s="44"/>
      <c r="P562" s="65"/>
    </row>
    <row r="563" spans="9:16" x14ac:dyDescent="0.3">
      <c r="I563" s="89"/>
      <c r="J563" s="15"/>
      <c r="K563" s="29"/>
      <c r="L563" s="89"/>
      <c r="M563" s="58"/>
      <c r="N563" s="44"/>
      <c r="O563" s="44"/>
      <c r="P563" s="65"/>
    </row>
    <row r="564" spans="9:16" x14ac:dyDescent="0.3">
      <c r="I564" s="89"/>
      <c r="J564" s="15"/>
      <c r="K564" s="29"/>
      <c r="L564" s="89"/>
      <c r="M564" s="58"/>
      <c r="N564" s="44"/>
      <c r="O564" s="44"/>
      <c r="P564" s="65"/>
    </row>
    <row r="565" spans="9:16" x14ac:dyDescent="0.3">
      <c r="I565" s="89"/>
      <c r="J565" s="15"/>
      <c r="K565" s="29"/>
      <c r="L565" s="89"/>
      <c r="M565" s="58"/>
      <c r="N565" s="44"/>
      <c r="O565" s="44"/>
      <c r="P565" s="65"/>
    </row>
    <row r="566" spans="9:16" x14ac:dyDescent="0.3">
      <c r="I566" s="89"/>
      <c r="J566" s="15"/>
      <c r="K566" s="29"/>
      <c r="L566" s="89"/>
      <c r="M566" s="58"/>
      <c r="N566" s="44"/>
      <c r="O566" s="44"/>
      <c r="P566" s="65"/>
    </row>
    <row r="567" spans="9:16" x14ac:dyDescent="0.3">
      <c r="I567" s="89"/>
      <c r="J567" s="15"/>
      <c r="K567" s="29"/>
      <c r="L567" s="89"/>
      <c r="M567" s="58"/>
      <c r="N567" s="44"/>
      <c r="O567" s="44"/>
      <c r="P567" s="65"/>
    </row>
    <row r="568" spans="9:16" x14ac:dyDescent="0.3">
      <c r="I568" s="89"/>
      <c r="J568" s="15"/>
      <c r="K568" s="29"/>
      <c r="L568" s="89"/>
      <c r="M568" s="58"/>
      <c r="N568" s="44"/>
      <c r="O568" s="44"/>
      <c r="P568" s="65"/>
    </row>
    <row r="569" spans="9:16" x14ac:dyDescent="0.3">
      <c r="I569" s="89"/>
      <c r="J569" s="15"/>
      <c r="K569" s="29"/>
      <c r="L569" s="89"/>
      <c r="M569" s="58"/>
      <c r="N569" s="44"/>
      <c r="O569" s="44"/>
      <c r="P569" s="65"/>
    </row>
    <row r="570" spans="9:16" x14ac:dyDescent="0.3">
      <c r="I570" s="89"/>
      <c r="J570" s="15"/>
      <c r="K570" s="29"/>
      <c r="L570" s="89"/>
      <c r="M570" s="58"/>
      <c r="N570" s="44"/>
      <c r="O570" s="44"/>
      <c r="P570" s="65"/>
    </row>
    <row r="571" spans="9:16" x14ac:dyDescent="0.3">
      <c r="I571" s="89"/>
      <c r="J571" s="15"/>
      <c r="K571" s="29"/>
      <c r="L571" s="89"/>
      <c r="M571" s="58"/>
      <c r="N571" s="44"/>
      <c r="O571" s="44"/>
      <c r="P571" s="65"/>
    </row>
    <row r="572" spans="9:16" x14ac:dyDescent="0.3">
      <c r="I572" s="89"/>
      <c r="J572" s="15"/>
      <c r="K572" s="29"/>
      <c r="L572" s="89"/>
      <c r="M572" s="58"/>
      <c r="N572" s="44"/>
      <c r="O572" s="44"/>
      <c r="P572" s="65"/>
    </row>
    <row r="573" spans="9:16" x14ac:dyDescent="0.3">
      <c r="I573" s="89"/>
      <c r="J573" s="15"/>
      <c r="K573" s="29"/>
      <c r="L573" s="89"/>
      <c r="M573" s="58"/>
      <c r="N573" s="44"/>
      <c r="O573" s="44"/>
      <c r="P573" s="65"/>
    </row>
    <row r="574" spans="9:16" x14ac:dyDescent="0.3">
      <c r="I574" s="89"/>
      <c r="J574" s="15"/>
      <c r="K574" s="29"/>
      <c r="L574" s="89"/>
      <c r="M574" s="58"/>
      <c r="N574" s="44"/>
      <c r="O574" s="44"/>
      <c r="P574" s="65"/>
    </row>
    <row r="575" spans="9:16" x14ac:dyDescent="0.3">
      <c r="I575" s="89"/>
      <c r="J575" s="15"/>
      <c r="K575" s="29"/>
      <c r="L575" s="89"/>
      <c r="M575" s="58"/>
      <c r="N575" s="44"/>
      <c r="O575" s="44"/>
      <c r="P575" s="65"/>
    </row>
    <row r="576" spans="9:16" x14ac:dyDescent="0.3">
      <c r="I576" s="89"/>
      <c r="J576" s="15"/>
      <c r="K576" s="29"/>
      <c r="L576" s="89"/>
      <c r="M576" s="58"/>
      <c r="N576" s="44"/>
      <c r="O576" s="44"/>
      <c r="P576" s="65"/>
    </row>
    <row r="577" spans="9:40" x14ac:dyDescent="0.3">
      <c r="I577" s="89"/>
      <c r="J577" s="15"/>
      <c r="K577" s="29"/>
      <c r="L577" s="89"/>
      <c r="M577" s="58"/>
      <c r="N577" s="44"/>
      <c r="O577" s="44"/>
      <c r="P577" s="65"/>
    </row>
    <row r="578" spans="9:40" x14ac:dyDescent="0.3">
      <c r="I578" s="89"/>
      <c r="J578" s="15"/>
      <c r="K578" s="29"/>
      <c r="L578" s="89"/>
      <c r="M578" s="58"/>
      <c r="N578" s="44"/>
      <c r="O578" s="44"/>
      <c r="P578" s="65"/>
    </row>
    <row r="579" spans="9:40" x14ac:dyDescent="0.3">
      <c r="I579" s="89"/>
      <c r="J579" s="15"/>
      <c r="K579" s="29"/>
      <c r="L579" s="89"/>
      <c r="M579" s="58"/>
      <c r="N579" s="44"/>
      <c r="O579" s="44"/>
      <c r="P579" s="65"/>
    </row>
    <row r="580" spans="9:40" x14ac:dyDescent="0.3">
      <c r="I580" s="89"/>
      <c r="J580" s="15"/>
      <c r="K580" s="29"/>
      <c r="L580" s="89"/>
      <c r="M580" s="58"/>
      <c r="N580" s="44"/>
      <c r="O580" s="44"/>
      <c r="P580" s="65"/>
    </row>
    <row r="581" spans="9:40" x14ac:dyDescent="0.3">
      <c r="I581" s="89"/>
      <c r="J581" s="15"/>
      <c r="K581" s="29"/>
      <c r="L581" s="89"/>
      <c r="M581" s="58"/>
      <c r="N581" s="44"/>
      <c r="O581" s="44"/>
      <c r="P581" s="65"/>
    </row>
    <row r="582" spans="9:40" x14ac:dyDescent="0.3">
      <c r="I582" s="89"/>
      <c r="J582" s="15"/>
      <c r="K582" s="29"/>
      <c r="L582" s="89"/>
      <c r="M582" s="58"/>
      <c r="N582" s="44"/>
      <c r="O582" s="44"/>
      <c r="P582" s="65"/>
    </row>
    <row r="583" spans="9:40" x14ac:dyDescent="0.3">
      <c r="AM583" s="93"/>
      <c r="AN583" s="93"/>
    </row>
    <row r="584" spans="9:40" x14ac:dyDescent="0.3">
      <c r="AL584" s="95"/>
      <c r="AM584" s="96"/>
    </row>
  </sheetData>
  <mergeCells count="1">
    <mergeCell ref="I14:I16"/>
  </mergeCells>
  <pageMargins left="0.7" right="0.7" top="0.75" bottom="0.75" header="0.3" footer="0.3"/>
  <pageSetup paperSize="9"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600 m3-h</vt:lpstr>
      <vt:lpstr>500 m3-h</vt:lpstr>
      <vt:lpstr>400 m3-h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Gustavo Alejandro Nagel</dc:creator>
  <cp:lastModifiedBy>Cesar  Mardones</cp:lastModifiedBy>
  <dcterms:created xsi:type="dcterms:W3CDTF">2021-11-07T11:30:42Z</dcterms:created>
  <dcterms:modified xsi:type="dcterms:W3CDTF">2025-10-07T19:56:37Z</dcterms:modified>
</cp:coreProperties>
</file>